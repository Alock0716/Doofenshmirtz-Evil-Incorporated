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mountunion-my.sharepoint.com/personal/lockhaam2023_mountunion_edu/Documents/"/>
    </mc:Choice>
  </mc:AlternateContent>
  <xr:revisionPtr revIDLastSave="535" documentId="8_{B60FA837-548E-4901-88DD-0226121E1615}" xr6:coauthVersionLast="47" xr6:coauthVersionMax="47" xr10:uidLastSave="{6E713236-034D-4AA9-86FA-AF6E08E0FEF3}"/>
  <bookViews>
    <workbookView xWindow="-120" yWindow="-120" windowWidth="29040" windowHeight="15720" activeTab="1" xr2:uid="{92FB5299-7E2C-46F3-B7DA-65A8139AB39F}"/>
  </bookViews>
  <sheets>
    <sheet name="Requirements" sheetId="1" r:id="rId1"/>
    <sheet name="Sprint Tracking" sheetId="3" r:id="rId2"/>
    <sheet name="Data Validation Lists" sheetId="2" r:id="rId3"/>
  </sheets>
  <definedNames>
    <definedName name="_xlpm.fromName" hidden="1" xlm="1">#NAME?</definedName>
    <definedName name="_xlpm.typedId" hidden="1" xlm="1">#NAME?</definedName>
    <definedName name="_xlpm.typedName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3" l="1"/>
  <c r="E10" i="3" s="1"/>
  <c r="D11" i="3"/>
  <c r="E11" i="3" s="1"/>
  <c r="D13" i="3"/>
  <c r="E13" i="3" s="1"/>
  <c r="D14" i="3"/>
  <c r="E14" i="3" s="1"/>
  <c r="D16" i="3"/>
  <c r="E16" i="3" s="1"/>
  <c r="D17" i="3"/>
  <c r="E17" i="3" s="1"/>
  <c r="D26" i="3"/>
  <c r="E26" i="3" s="1"/>
  <c r="D27" i="3"/>
  <c r="E27" i="3" s="1"/>
  <c r="D29" i="3"/>
  <c r="E29" i="3" s="1"/>
  <c r="D30" i="3"/>
  <c r="E30" i="3" s="1"/>
  <c r="D32" i="3"/>
  <c r="E32" i="3" s="1"/>
  <c r="D33" i="3"/>
  <c r="E33" i="3" s="1"/>
  <c r="D42" i="3"/>
  <c r="E42" i="3" s="1"/>
  <c r="D43" i="3"/>
  <c r="E43" i="3" s="1"/>
  <c r="D45" i="3"/>
  <c r="E45" i="3" s="1"/>
  <c r="D46" i="3"/>
  <c r="E46" i="3" s="1"/>
  <c r="D48" i="3"/>
  <c r="E48" i="3" s="1"/>
  <c r="D49" i="3"/>
  <c r="E49" i="3" s="1"/>
  <c r="D58" i="3"/>
  <c r="E58" i="3" s="1"/>
  <c r="D59" i="3"/>
  <c r="E59" i="3" s="1"/>
  <c r="D61" i="3"/>
  <c r="E61" i="3" s="1"/>
  <c r="D62" i="3"/>
  <c r="E62" i="3" s="1"/>
  <c r="D64" i="3"/>
  <c r="E64" i="3" s="1"/>
  <c r="D65" i="3"/>
  <c r="E65" i="3" s="1"/>
  <c r="D74" i="3"/>
  <c r="E74" i="3" s="1"/>
  <c r="D75" i="3"/>
  <c r="E75" i="3" s="1"/>
  <c r="D77" i="3"/>
  <c r="E77" i="3" s="1"/>
  <c r="D78" i="3"/>
  <c r="E78" i="3" s="1"/>
  <c r="D80" i="3"/>
  <c r="E80" i="3" s="1"/>
  <c r="D81" i="3"/>
  <c r="E81" i="3" s="1"/>
  <c r="D90" i="3"/>
  <c r="E90" i="3" s="1"/>
  <c r="D91" i="3"/>
  <c r="E91" i="3" s="1"/>
  <c r="D93" i="3"/>
  <c r="E93" i="3" s="1"/>
  <c r="D94" i="3"/>
  <c r="E94" i="3" s="1"/>
  <c r="D96" i="3"/>
  <c r="E96" i="3" s="1"/>
  <c r="D97" i="3"/>
  <c r="E97" i="3" s="1"/>
  <c r="D106" i="3"/>
  <c r="E106" i="3" s="1"/>
  <c r="D107" i="3"/>
  <c r="E107" i="3" s="1"/>
  <c r="D109" i="3"/>
  <c r="E109" i="3" s="1"/>
  <c r="D110" i="3"/>
  <c r="E110" i="3" s="1"/>
  <c r="D112" i="3"/>
  <c r="E112" i="3" s="1"/>
  <c r="D113" i="3"/>
  <c r="E113" i="3" s="1"/>
  <c r="D122" i="3"/>
  <c r="E122" i="3" s="1"/>
  <c r="D123" i="3"/>
  <c r="E123" i="3" s="1"/>
  <c r="D125" i="3"/>
  <c r="E125" i="3" s="1"/>
  <c r="D126" i="3"/>
  <c r="E126" i="3" s="1"/>
  <c r="D128" i="3"/>
  <c r="E128" i="3" s="1"/>
  <c r="D129" i="3"/>
  <c r="E129" i="3" s="1"/>
  <c r="D138" i="3"/>
  <c r="E138" i="3" s="1"/>
  <c r="D139" i="3"/>
  <c r="E139" i="3" s="1"/>
  <c r="D141" i="3"/>
  <c r="E141" i="3" s="1"/>
  <c r="D142" i="3"/>
  <c r="E142" i="3" s="1"/>
  <c r="D144" i="3"/>
  <c r="E144" i="3" s="1"/>
  <c r="D145" i="3"/>
  <c r="E145" i="3" s="1"/>
  <c r="D154" i="3"/>
  <c r="E154" i="3" s="1"/>
  <c r="D155" i="3"/>
  <c r="E155" i="3" s="1"/>
  <c r="D157" i="3"/>
  <c r="E157" i="3" s="1"/>
  <c r="D158" i="3"/>
  <c r="E158" i="3" s="1"/>
  <c r="D160" i="3"/>
  <c r="E160" i="3" s="1"/>
  <c r="D161" i="3"/>
  <c r="E161" i="3" s="1"/>
  <c r="D170" i="3"/>
  <c r="E170" i="3" s="1"/>
  <c r="D171" i="3"/>
  <c r="E171" i="3" s="1"/>
  <c r="D173" i="3"/>
  <c r="E173" i="3" s="1"/>
  <c r="D174" i="3"/>
  <c r="E174" i="3" s="1"/>
  <c r="D176" i="3"/>
  <c r="E176" i="3" s="1"/>
  <c r="D177" i="3"/>
  <c r="E177" i="3" s="1"/>
  <c r="D186" i="3"/>
  <c r="E186" i="3" s="1"/>
  <c r="D187" i="3"/>
  <c r="E187" i="3" s="1"/>
  <c r="D189" i="3"/>
  <c r="E189" i="3" s="1"/>
  <c r="D190" i="3"/>
  <c r="E190" i="3" s="1"/>
  <c r="D192" i="3"/>
  <c r="E192" i="3" s="1"/>
  <c r="D193" i="3"/>
  <c r="E193" i="3" s="1"/>
  <c r="D202" i="3"/>
  <c r="E202" i="3" s="1"/>
  <c r="D203" i="3"/>
  <c r="E203" i="3" s="1"/>
  <c r="D205" i="3"/>
  <c r="E205" i="3" s="1"/>
  <c r="D206" i="3"/>
  <c r="E206" i="3" s="1"/>
  <c r="D208" i="3"/>
  <c r="E208" i="3" s="1"/>
  <c r="D209" i="3"/>
  <c r="E209" i="3" s="1"/>
  <c r="D218" i="3"/>
  <c r="E218" i="3" s="1"/>
  <c r="D219" i="3"/>
  <c r="E219" i="3" s="1"/>
  <c r="D221" i="3"/>
  <c r="E221" i="3" s="1"/>
  <c r="D222" i="3"/>
  <c r="E222" i="3" s="1"/>
  <c r="D224" i="3"/>
  <c r="E224" i="3" s="1"/>
  <c r="D225" i="3"/>
  <c r="E225" i="3" s="1"/>
  <c r="D234" i="3"/>
  <c r="E234" i="3" s="1"/>
  <c r="D235" i="3"/>
  <c r="E235" i="3" s="1"/>
  <c r="D237" i="3"/>
  <c r="E237" i="3" s="1"/>
  <c r="D238" i="3"/>
  <c r="E238" i="3" s="1"/>
  <c r="D240" i="3"/>
  <c r="E240" i="3" s="1"/>
  <c r="D241" i="3"/>
  <c r="E241" i="3" s="1"/>
  <c r="D250" i="3"/>
  <c r="E250" i="3" s="1"/>
  <c r="C3" i="3"/>
  <c r="D3" i="3" s="1"/>
  <c r="E3" i="3" s="1"/>
  <c r="C4" i="3"/>
  <c r="D4" i="3" s="1"/>
  <c r="E4" i="3" s="1"/>
  <c r="C5" i="3"/>
  <c r="D5" i="3" s="1"/>
  <c r="E5" i="3" s="1"/>
  <c r="C6" i="3"/>
  <c r="D6" i="3" s="1"/>
  <c r="E6" i="3" s="1"/>
  <c r="C7" i="3"/>
  <c r="D7" i="3" s="1"/>
  <c r="E7" i="3" s="1"/>
  <c r="C8" i="3"/>
  <c r="D8" i="3" s="1"/>
  <c r="E8" i="3" s="1"/>
  <c r="C9" i="3"/>
  <c r="D9" i="3" s="1"/>
  <c r="E9" i="3" s="1"/>
  <c r="C10" i="3"/>
  <c r="C11" i="3"/>
  <c r="C12" i="3"/>
  <c r="D12" i="3" s="1"/>
  <c r="E12" i="3" s="1"/>
  <c r="C13" i="3"/>
  <c r="C14" i="3"/>
  <c r="C15" i="3"/>
  <c r="D15" i="3" s="1"/>
  <c r="E15" i="3" s="1"/>
  <c r="C16" i="3"/>
  <c r="C17" i="3"/>
  <c r="C18" i="3"/>
  <c r="D18" i="3" s="1"/>
  <c r="E18" i="3" s="1"/>
  <c r="C19" i="3"/>
  <c r="D19" i="3" s="1"/>
  <c r="E19" i="3" s="1"/>
  <c r="C20" i="3"/>
  <c r="D20" i="3" s="1"/>
  <c r="E20" i="3" s="1"/>
  <c r="C21" i="3"/>
  <c r="D21" i="3" s="1"/>
  <c r="E21" i="3" s="1"/>
  <c r="C22" i="3"/>
  <c r="D22" i="3" s="1"/>
  <c r="E22" i="3" s="1"/>
  <c r="C23" i="3"/>
  <c r="D23" i="3" s="1"/>
  <c r="E23" i="3" s="1"/>
  <c r="C24" i="3"/>
  <c r="D24" i="3" s="1"/>
  <c r="E24" i="3" s="1"/>
  <c r="C25" i="3"/>
  <c r="D25" i="3" s="1"/>
  <c r="E25" i="3" s="1"/>
  <c r="C26" i="3"/>
  <c r="C27" i="3"/>
  <c r="C28" i="3"/>
  <c r="D28" i="3" s="1"/>
  <c r="E28" i="3" s="1"/>
  <c r="C29" i="3"/>
  <c r="C30" i="3"/>
  <c r="C31" i="3"/>
  <c r="D31" i="3" s="1"/>
  <c r="E31" i="3" s="1"/>
  <c r="C32" i="3"/>
  <c r="C33" i="3"/>
  <c r="C34" i="3"/>
  <c r="D34" i="3" s="1"/>
  <c r="E34" i="3" s="1"/>
  <c r="C35" i="3"/>
  <c r="D35" i="3" s="1"/>
  <c r="E35" i="3" s="1"/>
  <c r="C36" i="3"/>
  <c r="D36" i="3" s="1"/>
  <c r="E36" i="3" s="1"/>
  <c r="C37" i="3"/>
  <c r="D37" i="3" s="1"/>
  <c r="E37" i="3" s="1"/>
  <c r="C38" i="3"/>
  <c r="D38" i="3" s="1"/>
  <c r="E38" i="3" s="1"/>
  <c r="C39" i="3"/>
  <c r="D39" i="3" s="1"/>
  <c r="E39" i="3" s="1"/>
  <c r="C40" i="3"/>
  <c r="D40" i="3" s="1"/>
  <c r="E40" i="3" s="1"/>
  <c r="C41" i="3"/>
  <c r="D41" i="3" s="1"/>
  <c r="E41" i="3" s="1"/>
  <c r="C42" i="3"/>
  <c r="C43" i="3"/>
  <c r="C44" i="3"/>
  <c r="D44" i="3" s="1"/>
  <c r="E44" i="3" s="1"/>
  <c r="C45" i="3"/>
  <c r="C46" i="3"/>
  <c r="C47" i="3"/>
  <c r="D47" i="3" s="1"/>
  <c r="E47" i="3" s="1"/>
  <c r="C48" i="3"/>
  <c r="C49" i="3"/>
  <c r="C50" i="3"/>
  <c r="D50" i="3" s="1"/>
  <c r="E50" i="3" s="1"/>
  <c r="C51" i="3"/>
  <c r="D51" i="3" s="1"/>
  <c r="E51" i="3" s="1"/>
  <c r="C52" i="3"/>
  <c r="D52" i="3" s="1"/>
  <c r="E52" i="3" s="1"/>
  <c r="C53" i="3"/>
  <c r="D53" i="3" s="1"/>
  <c r="E53" i="3" s="1"/>
  <c r="C54" i="3"/>
  <c r="D54" i="3" s="1"/>
  <c r="E54" i="3" s="1"/>
  <c r="C55" i="3"/>
  <c r="D55" i="3" s="1"/>
  <c r="E55" i="3" s="1"/>
  <c r="C56" i="3"/>
  <c r="D56" i="3" s="1"/>
  <c r="E56" i="3" s="1"/>
  <c r="C57" i="3"/>
  <c r="D57" i="3" s="1"/>
  <c r="E57" i="3" s="1"/>
  <c r="C58" i="3"/>
  <c r="C59" i="3"/>
  <c r="C60" i="3"/>
  <c r="D60" i="3" s="1"/>
  <c r="E60" i="3" s="1"/>
  <c r="C61" i="3"/>
  <c r="C62" i="3"/>
  <c r="C63" i="3"/>
  <c r="D63" i="3" s="1"/>
  <c r="E63" i="3" s="1"/>
  <c r="C64" i="3"/>
  <c r="C65" i="3"/>
  <c r="C66" i="3"/>
  <c r="D66" i="3" s="1"/>
  <c r="E66" i="3" s="1"/>
  <c r="C67" i="3"/>
  <c r="D67" i="3" s="1"/>
  <c r="E67" i="3" s="1"/>
  <c r="C68" i="3"/>
  <c r="D68" i="3" s="1"/>
  <c r="E68" i="3" s="1"/>
  <c r="C69" i="3"/>
  <c r="D69" i="3" s="1"/>
  <c r="E69" i="3" s="1"/>
  <c r="C70" i="3"/>
  <c r="D70" i="3" s="1"/>
  <c r="E70" i="3" s="1"/>
  <c r="C71" i="3"/>
  <c r="D71" i="3" s="1"/>
  <c r="E71" i="3" s="1"/>
  <c r="C72" i="3"/>
  <c r="D72" i="3" s="1"/>
  <c r="E72" i="3" s="1"/>
  <c r="C73" i="3"/>
  <c r="D73" i="3" s="1"/>
  <c r="E73" i="3" s="1"/>
  <c r="C74" i="3"/>
  <c r="C75" i="3"/>
  <c r="C76" i="3"/>
  <c r="D76" i="3" s="1"/>
  <c r="E76" i="3" s="1"/>
  <c r="C77" i="3"/>
  <c r="C78" i="3"/>
  <c r="C79" i="3"/>
  <c r="D79" i="3" s="1"/>
  <c r="E79" i="3" s="1"/>
  <c r="C80" i="3"/>
  <c r="C81" i="3"/>
  <c r="C82" i="3"/>
  <c r="D82" i="3" s="1"/>
  <c r="E82" i="3" s="1"/>
  <c r="C83" i="3"/>
  <c r="D83" i="3" s="1"/>
  <c r="E83" i="3" s="1"/>
  <c r="C84" i="3"/>
  <c r="D84" i="3" s="1"/>
  <c r="E84" i="3" s="1"/>
  <c r="C85" i="3"/>
  <c r="D85" i="3" s="1"/>
  <c r="E85" i="3" s="1"/>
  <c r="C86" i="3"/>
  <c r="D86" i="3" s="1"/>
  <c r="E86" i="3" s="1"/>
  <c r="C87" i="3"/>
  <c r="D87" i="3" s="1"/>
  <c r="E87" i="3" s="1"/>
  <c r="C88" i="3"/>
  <c r="D88" i="3" s="1"/>
  <c r="E88" i="3" s="1"/>
  <c r="C89" i="3"/>
  <c r="D89" i="3" s="1"/>
  <c r="E89" i="3" s="1"/>
  <c r="C90" i="3"/>
  <c r="C91" i="3"/>
  <c r="C92" i="3"/>
  <c r="D92" i="3" s="1"/>
  <c r="E92" i="3" s="1"/>
  <c r="C93" i="3"/>
  <c r="C94" i="3"/>
  <c r="C95" i="3"/>
  <c r="D95" i="3" s="1"/>
  <c r="E95" i="3" s="1"/>
  <c r="C96" i="3"/>
  <c r="C97" i="3"/>
  <c r="C98" i="3"/>
  <c r="D98" i="3" s="1"/>
  <c r="E98" i="3" s="1"/>
  <c r="C99" i="3"/>
  <c r="D99" i="3" s="1"/>
  <c r="E99" i="3" s="1"/>
  <c r="C100" i="3"/>
  <c r="D100" i="3" s="1"/>
  <c r="E100" i="3" s="1"/>
  <c r="C101" i="3"/>
  <c r="D101" i="3" s="1"/>
  <c r="E101" i="3" s="1"/>
  <c r="C102" i="3"/>
  <c r="D102" i="3" s="1"/>
  <c r="E102" i="3" s="1"/>
  <c r="C103" i="3"/>
  <c r="D103" i="3" s="1"/>
  <c r="E103" i="3" s="1"/>
  <c r="C104" i="3"/>
  <c r="D104" i="3" s="1"/>
  <c r="E104" i="3" s="1"/>
  <c r="C105" i="3"/>
  <c r="D105" i="3" s="1"/>
  <c r="E105" i="3" s="1"/>
  <c r="C106" i="3"/>
  <c r="C107" i="3"/>
  <c r="C108" i="3"/>
  <c r="D108" i="3" s="1"/>
  <c r="E108" i="3" s="1"/>
  <c r="C109" i="3"/>
  <c r="C110" i="3"/>
  <c r="C111" i="3"/>
  <c r="D111" i="3" s="1"/>
  <c r="E111" i="3" s="1"/>
  <c r="C112" i="3"/>
  <c r="C113" i="3"/>
  <c r="C114" i="3"/>
  <c r="D114" i="3" s="1"/>
  <c r="E114" i="3" s="1"/>
  <c r="C115" i="3"/>
  <c r="D115" i="3" s="1"/>
  <c r="E115" i="3" s="1"/>
  <c r="C116" i="3"/>
  <c r="D116" i="3" s="1"/>
  <c r="E116" i="3" s="1"/>
  <c r="C117" i="3"/>
  <c r="D117" i="3" s="1"/>
  <c r="E117" i="3" s="1"/>
  <c r="C118" i="3"/>
  <c r="D118" i="3" s="1"/>
  <c r="E118" i="3" s="1"/>
  <c r="C119" i="3"/>
  <c r="D119" i="3" s="1"/>
  <c r="E119" i="3" s="1"/>
  <c r="C120" i="3"/>
  <c r="D120" i="3" s="1"/>
  <c r="E120" i="3" s="1"/>
  <c r="C121" i="3"/>
  <c r="D121" i="3" s="1"/>
  <c r="E121" i="3" s="1"/>
  <c r="C122" i="3"/>
  <c r="C123" i="3"/>
  <c r="C124" i="3"/>
  <c r="D124" i="3" s="1"/>
  <c r="E124" i="3" s="1"/>
  <c r="C125" i="3"/>
  <c r="C126" i="3"/>
  <c r="C127" i="3"/>
  <c r="D127" i="3" s="1"/>
  <c r="E127" i="3" s="1"/>
  <c r="C128" i="3"/>
  <c r="C129" i="3"/>
  <c r="C130" i="3"/>
  <c r="D130" i="3" s="1"/>
  <c r="E130" i="3" s="1"/>
  <c r="C131" i="3"/>
  <c r="D131" i="3" s="1"/>
  <c r="E131" i="3" s="1"/>
  <c r="C132" i="3"/>
  <c r="D132" i="3" s="1"/>
  <c r="E132" i="3" s="1"/>
  <c r="C133" i="3"/>
  <c r="D133" i="3" s="1"/>
  <c r="E133" i="3" s="1"/>
  <c r="C134" i="3"/>
  <c r="D134" i="3" s="1"/>
  <c r="E134" i="3" s="1"/>
  <c r="C135" i="3"/>
  <c r="D135" i="3" s="1"/>
  <c r="E135" i="3" s="1"/>
  <c r="C136" i="3"/>
  <c r="D136" i="3" s="1"/>
  <c r="E136" i="3" s="1"/>
  <c r="C137" i="3"/>
  <c r="D137" i="3" s="1"/>
  <c r="E137" i="3" s="1"/>
  <c r="C138" i="3"/>
  <c r="C139" i="3"/>
  <c r="C140" i="3"/>
  <c r="D140" i="3" s="1"/>
  <c r="E140" i="3" s="1"/>
  <c r="C141" i="3"/>
  <c r="C142" i="3"/>
  <c r="C143" i="3"/>
  <c r="D143" i="3" s="1"/>
  <c r="E143" i="3" s="1"/>
  <c r="C144" i="3"/>
  <c r="C145" i="3"/>
  <c r="C146" i="3"/>
  <c r="D146" i="3" s="1"/>
  <c r="E146" i="3" s="1"/>
  <c r="C147" i="3"/>
  <c r="D147" i="3" s="1"/>
  <c r="E147" i="3" s="1"/>
  <c r="C148" i="3"/>
  <c r="D148" i="3" s="1"/>
  <c r="E148" i="3" s="1"/>
  <c r="C149" i="3"/>
  <c r="D149" i="3" s="1"/>
  <c r="E149" i="3" s="1"/>
  <c r="C150" i="3"/>
  <c r="D150" i="3" s="1"/>
  <c r="E150" i="3" s="1"/>
  <c r="C151" i="3"/>
  <c r="D151" i="3" s="1"/>
  <c r="E151" i="3" s="1"/>
  <c r="C152" i="3"/>
  <c r="D152" i="3" s="1"/>
  <c r="E152" i="3" s="1"/>
  <c r="C153" i="3"/>
  <c r="D153" i="3" s="1"/>
  <c r="E153" i="3" s="1"/>
  <c r="C154" i="3"/>
  <c r="C155" i="3"/>
  <c r="C156" i="3"/>
  <c r="D156" i="3" s="1"/>
  <c r="E156" i="3" s="1"/>
  <c r="C157" i="3"/>
  <c r="C158" i="3"/>
  <c r="C159" i="3"/>
  <c r="D159" i="3" s="1"/>
  <c r="E159" i="3" s="1"/>
  <c r="C160" i="3"/>
  <c r="C161" i="3"/>
  <c r="C162" i="3"/>
  <c r="D162" i="3" s="1"/>
  <c r="E162" i="3" s="1"/>
  <c r="C163" i="3"/>
  <c r="D163" i="3" s="1"/>
  <c r="E163" i="3" s="1"/>
  <c r="C164" i="3"/>
  <c r="D164" i="3" s="1"/>
  <c r="E164" i="3" s="1"/>
  <c r="C165" i="3"/>
  <c r="D165" i="3" s="1"/>
  <c r="E165" i="3" s="1"/>
  <c r="C166" i="3"/>
  <c r="D166" i="3" s="1"/>
  <c r="E166" i="3" s="1"/>
  <c r="C167" i="3"/>
  <c r="D167" i="3" s="1"/>
  <c r="E167" i="3" s="1"/>
  <c r="C168" i="3"/>
  <c r="D168" i="3" s="1"/>
  <c r="E168" i="3" s="1"/>
  <c r="C169" i="3"/>
  <c r="D169" i="3" s="1"/>
  <c r="E169" i="3" s="1"/>
  <c r="C170" i="3"/>
  <c r="C171" i="3"/>
  <c r="C172" i="3"/>
  <c r="D172" i="3" s="1"/>
  <c r="E172" i="3" s="1"/>
  <c r="C173" i="3"/>
  <c r="C174" i="3"/>
  <c r="C175" i="3"/>
  <c r="D175" i="3" s="1"/>
  <c r="E175" i="3" s="1"/>
  <c r="C176" i="3"/>
  <c r="C177" i="3"/>
  <c r="C178" i="3"/>
  <c r="D178" i="3" s="1"/>
  <c r="E178" i="3" s="1"/>
  <c r="C179" i="3"/>
  <c r="D179" i="3" s="1"/>
  <c r="E179" i="3" s="1"/>
  <c r="C180" i="3"/>
  <c r="D180" i="3" s="1"/>
  <c r="E180" i="3" s="1"/>
  <c r="C181" i="3"/>
  <c r="D181" i="3" s="1"/>
  <c r="E181" i="3" s="1"/>
  <c r="C182" i="3"/>
  <c r="D182" i="3" s="1"/>
  <c r="E182" i="3" s="1"/>
  <c r="C183" i="3"/>
  <c r="D183" i="3" s="1"/>
  <c r="E183" i="3" s="1"/>
  <c r="C184" i="3"/>
  <c r="D184" i="3" s="1"/>
  <c r="E184" i="3" s="1"/>
  <c r="C185" i="3"/>
  <c r="D185" i="3" s="1"/>
  <c r="E185" i="3" s="1"/>
  <c r="C186" i="3"/>
  <c r="C187" i="3"/>
  <c r="C188" i="3"/>
  <c r="D188" i="3" s="1"/>
  <c r="E188" i="3" s="1"/>
  <c r="C189" i="3"/>
  <c r="C190" i="3"/>
  <c r="C191" i="3"/>
  <c r="D191" i="3" s="1"/>
  <c r="E191" i="3" s="1"/>
  <c r="C192" i="3"/>
  <c r="C193" i="3"/>
  <c r="C194" i="3"/>
  <c r="D194" i="3" s="1"/>
  <c r="E194" i="3" s="1"/>
  <c r="C195" i="3"/>
  <c r="D195" i="3" s="1"/>
  <c r="E195" i="3" s="1"/>
  <c r="C196" i="3"/>
  <c r="D196" i="3" s="1"/>
  <c r="E196" i="3" s="1"/>
  <c r="C197" i="3"/>
  <c r="D197" i="3" s="1"/>
  <c r="E197" i="3" s="1"/>
  <c r="C198" i="3"/>
  <c r="D198" i="3" s="1"/>
  <c r="E198" i="3" s="1"/>
  <c r="C199" i="3"/>
  <c r="D199" i="3" s="1"/>
  <c r="E199" i="3" s="1"/>
  <c r="C200" i="3"/>
  <c r="D200" i="3" s="1"/>
  <c r="E200" i="3" s="1"/>
  <c r="C201" i="3"/>
  <c r="D201" i="3" s="1"/>
  <c r="E201" i="3" s="1"/>
  <c r="C202" i="3"/>
  <c r="C203" i="3"/>
  <c r="C204" i="3"/>
  <c r="D204" i="3" s="1"/>
  <c r="E204" i="3" s="1"/>
  <c r="C205" i="3"/>
  <c r="C206" i="3"/>
  <c r="C207" i="3"/>
  <c r="D207" i="3" s="1"/>
  <c r="E207" i="3" s="1"/>
  <c r="C208" i="3"/>
  <c r="C209" i="3"/>
  <c r="C210" i="3"/>
  <c r="D210" i="3" s="1"/>
  <c r="E210" i="3" s="1"/>
  <c r="C211" i="3"/>
  <c r="D211" i="3" s="1"/>
  <c r="E211" i="3" s="1"/>
  <c r="C212" i="3"/>
  <c r="D212" i="3" s="1"/>
  <c r="E212" i="3" s="1"/>
  <c r="C213" i="3"/>
  <c r="D213" i="3" s="1"/>
  <c r="E213" i="3" s="1"/>
  <c r="C214" i="3"/>
  <c r="D214" i="3" s="1"/>
  <c r="E214" i="3" s="1"/>
  <c r="C215" i="3"/>
  <c r="D215" i="3" s="1"/>
  <c r="E215" i="3" s="1"/>
  <c r="C216" i="3"/>
  <c r="D216" i="3" s="1"/>
  <c r="E216" i="3" s="1"/>
  <c r="C217" i="3"/>
  <c r="D217" i="3" s="1"/>
  <c r="E217" i="3" s="1"/>
  <c r="C218" i="3"/>
  <c r="C219" i="3"/>
  <c r="C220" i="3"/>
  <c r="D220" i="3" s="1"/>
  <c r="E220" i="3" s="1"/>
  <c r="C221" i="3"/>
  <c r="C222" i="3"/>
  <c r="C223" i="3"/>
  <c r="D223" i="3" s="1"/>
  <c r="E223" i="3" s="1"/>
  <c r="C224" i="3"/>
  <c r="C225" i="3"/>
  <c r="C226" i="3"/>
  <c r="D226" i="3" s="1"/>
  <c r="E226" i="3" s="1"/>
  <c r="C227" i="3"/>
  <c r="D227" i="3" s="1"/>
  <c r="E227" i="3" s="1"/>
  <c r="C228" i="3"/>
  <c r="D228" i="3" s="1"/>
  <c r="E228" i="3" s="1"/>
  <c r="C229" i="3"/>
  <c r="D229" i="3" s="1"/>
  <c r="E229" i="3" s="1"/>
  <c r="C230" i="3"/>
  <c r="D230" i="3" s="1"/>
  <c r="E230" i="3" s="1"/>
  <c r="C231" i="3"/>
  <c r="D231" i="3" s="1"/>
  <c r="E231" i="3" s="1"/>
  <c r="C232" i="3"/>
  <c r="D232" i="3" s="1"/>
  <c r="E232" i="3" s="1"/>
  <c r="C233" i="3"/>
  <c r="D233" i="3" s="1"/>
  <c r="E233" i="3" s="1"/>
  <c r="C234" i="3"/>
  <c r="C235" i="3"/>
  <c r="C236" i="3"/>
  <c r="D236" i="3" s="1"/>
  <c r="E236" i="3" s="1"/>
  <c r="C237" i="3"/>
  <c r="C238" i="3"/>
  <c r="C239" i="3"/>
  <c r="D239" i="3" s="1"/>
  <c r="E239" i="3" s="1"/>
  <c r="C240" i="3"/>
  <c r="C241" i="3"/>
  <c r="C242" i="3"/>
  <c r="D242" i="3" s="1"/>
  <c r="E242" i="3" s="1"/>
  <c r="C243" i="3"/>
  <c r="D243" i="3" s="1"/>
  <c r="E243" i="3" s="1"/>
  <c r="C244" i="3"/>
  <c r="D244" i="3" s="1"/>
  <c r="E244" i="3" s="1"/>
  <c r="C245" i="3"/>
  <c r="D245" i="3" s="1"/>
  <c r="E245" i="3" s="1"/>
  <c r="C246" i="3"/>
  <c r="D246" i="3" s="1"/>
  <c r="E246" i="3" s="1"/>
  <c r="C247" i="3"/>
  <c r="D247" i="3" s="1"/>
  <c r="E247" i="3" s="1"/>
  <c r="C248" i="3"/>
  <c r="D248" i="3" s="1"/>
  <c r="E248" i="3" s="1"/>
  <c r="C249" i="3"/>
  <c r="D249" i="3" s="1"/>
  <c r="E249" i="3" s="1"/>
  <c r="C250" i="3"/>
  <c r="G2" i="2" a="1"/>
  <c r="G2" i="2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<sst xmlns="http://schemas.openxmlformats.org/spreadsheetml/2006/main" count="495" uniqueCount="195">
  <si>
    <t>Requirements</t>
  </si>
  <si>
    <t>Types of Requirements</t>
  </si>
  <si>
    <t>Priorities</t>
  </si>
  <si>
    <t>Id</t>
  </si>
  <si>
    <t>Name</t>
  </si>
  <si>
    <t>Desc.</t>
  </si>
  <si>
    <t>Type of Requirement</t>
  </si>
  <si>
    <t>Priority</t>
  </si>
  <si>
    <t>Dependancies</t>
  </si>
  <si>
    <t>Functional</t>
  </si>
  <si>
    <t>High</t>
  </si>
  <si>
    <t>PublicLandingPage</t>
  </si>
  <si>
    <t>System should provide a public landing page explaining the application purpose.</t>
  </si>
  <si>
    <t>Domain</t>
  </si>
  <si>
    <t>Low</t>
  </si>
  <si>
    <t>Business</t>
  </si>
  <si>
    <t>UserRegistration</t>
  </si>
  <si>
    <t>Users should be able to create an account using email and password.</t>
  </si>
  <si>
    <t>User</t>
  </si>
  <si>
    <t>RegistrationValidation</t>
  </si>
  <si>
    <t>System should validate registration input fields before account creation.</t>
  </si>
  <si>
    <t>UniqueUserEmail</t>
  </si>
  <si>
    <t>System should enforce unique email addresses per user.</t>
  </si>
  <si>
    <t>UserLogin</t>
  </si>
  <si>
    <t>Users should be able to log in using registered credentials.</t>
  </si>
  <si>
    <t>UserLogout</t>
  </si>
  <si>
    <t>Users should be able to log out of the system.</t>
  </si>
  <si>
    <t>Medium</t>
  </si>
  <si>
    <t>SessionPersistence</t>
  </si>
  <si>
    <t>User sessions should persist across page refreshes.</t>
  </si>
  <si>
    <t>Non-Functional</t>
  </si>
  <si>
    <t>PasswordHashing</t>
  </si>
  <si>
    <t>User passwords should be stored using secure hashing algorithms.</t>
  </si>
  <si>
    <t>PasswordResetRequest</t>
  </si>
  <si>
    <t>Users should be able to request a password reset.</t>
  </si>
  <si>
    <t>PasswordResetExpiration</t>
  </si>
  <si>
    <t>Password reset tokens should expire after a defined time period.</t>
  </si>
  <si>
    <t>AuthRateLimiting</t>
  </si>
  <si>
    <t>Authentication endpoints should limit repeated failed attempts.</t>
  </si>
  <si>
    <t>UserDashboard</t>
  </si>
  <si>
    <t>System should provide a dashboard summarizing budget and spending data.</t>
  </si>
  <si>
    <t>DashboardTotals</t>
  </si>
  <si>
    <t>Dashboard should display total monthly spending and remaining budget.</t>
  </si>
  <si>
    <t>DashboardQuickActions</t>
  </si>
  <si>
    <t>Dashboard should provide shortcuts to common actions.</t>
  </si>
  <si>
    <t>PlaidLinkInitialization</t>
  </si>
  <si>
    <t>System should initiate a Plaid Link session for bank connection.</t>
  </si>
  <si>
    <t>PlaidTokenExchange</t>
  </si>
  <si>
    <t>System should exchange Plaid public tokens for access tokens server-side.</t>
  </si>
  <si>
    <t>SecurePlaidTokenStorage</t>
  </si>
  <si>
    <t>Plaid access tokens should be stored securely and encrypted.</t>
  </si>
  <si>
    <t>BankAccountAssociation</t>
  </si>
  <si>
    <t>Linked bank accounts should be associated with the authenticated user.</t>
  </si>
  <si>
    <t>BankAccountRemoval</t>
  </si>
  <si>
    <t>Users should be able to unlink a connected bank account.</t>
  </si>
  <si>
    <t>TransactionSync</t>
  </si>
  <si>
    <t>System should retrieve transactions from linked accounts.</t>
  </si>
  <si>
    <t>System should prevent duplicate transactions from being stored.</t>
  </si>
  <si>
    <t>TransactionCategorization</t>
  </si>
  <si>
    <t>Transactions should be assigned to spending categories.</t>
  </si>
  <si>
    <t>CategoryManagement</t>
  </si>
  <si>
    <t>Users should be able to define and edit budget categories.</t>
  </si>
  <si>
    <t>BudgetCreation</t>
  </si>
  <si>
    <t>Users should be able to create monthly budgets.</t>
  </si>
  <si>
    <t>BudgetEditing</t>
  </si>
  <si>
    <t>Users should be able to modify existing budgets.</t>
  </si>
  <si>
    <t>BudgetDeletion</t>
  </si>
  <si>
    <t>Users should be able to delete budgets.</t>
  </si>
  <si>
    <t>BudgetRemainingCalculation</t>
  </si>
  <si>
    <t>System should calculate remaining budget amounts automatically.</t>
  </si>
  <si>
    <t>BudgetCreation, TransactionCategorization</t>
  </si>
  <si>
    <t>OverspendingAlert</t>
  </si>
  <si>
    <t>System should indicate when a budget category is exceeded.</t>
  </si>
  <si>
    <t>AnalyticsPage</t>
  </si>
  <si>
    <t>System should provide a detailed analytics page for spending insights.</t>
  </si>
  <si>
    <t>SpendingTrends</t>
  </si>
  <si>
    <t>Analytics should show trends over time.</t>
  </si>
  <si>
    <t>CategoryBreakdownCharts</t>
  </si>
  <si>
    <t>Analytics should include charts broken down by category.</t>
  </si>
  <si>
    <t>AccountSettings</t>
  </si>
  <si>
    <t>Users should be able to view and edit account information.</t>
  </si>
  <si>
    <t>EmailUpdate</t>
  </si>
  <si>
    <t>Users should be able to update their email address.</t>
  </si>
  <si>
    <t>PasswordChange</t>
  </si>
  <si>
    <t>Users should be able to change their password.</t>
  </si>
  <si>
    <t>DataPrivacyCompliance</t>
  </si>
  <si>
    <t>System should comply with applicable data privacy standards.</t>
  </si>
  <si>
    <t>ScalabilitySupport</t>
  </si>
  <si>
    <t>System should support growth in users and transaction volume.</t>
  </si>
  <si>
    <t>SystemAvailability</t>
  </si>
  <si>
    <t>System should maintain acceptable uptime levels.</t>
  </si>
  <si>
    <t>ErrorLogging</t>
  </si>
  <si>
    <t>System should log application and API errors for diagnostics.</t>
  </si>
  <si>
    <t>LandingPageNavigation</t>
  </si>
  <si>
    <t>LandingPageResponsive</t>
  </si>
  <si>
    <t>LandingPageNoAuthAccess</t>
  </si>
  <si>
    <t>LoginInputValidation</t>
  </si>
  <si>
    <t>LoginErrorFeedback</t>
  </si>
  <si>
    <t>RedirectAfterLogin</t>
  </si>
  <si>
    <t>RegistrationSuccessFeedback</t>
  </si>
  <si>
    <t>DefaultUserProfileCreation</t>
  </si>
  <si>
    <t>PasswordResetPage</t>
  </si>
  <si>
    <t>PasswordResetConfirmation</t>
  </si>
  <si>
    <t>DashboardDataRefresh</t>
  </si>
  <si>
    <t>DashboardEmptyState</t>
  </si>
  <si>
    <t>TransactionListView</t>
  </si>
  <si>
    <t>TransactionReadOnly</t>
  </si>
  <si>
    <t>TransactionFilterSortSearch</t>
  </si>
  <si>
    <t>BudgetListView</t>
  </si>
  <si>
    <t>BudgetValidation</t>
  </si>
  <si>
    <t>BudgetPersistence</t>
  </si>
  <si>
    <t>BudgetReviewPage</t>
  </si>
  <si>
    <t>BudgetVsActualComparison</t>
  </si>
  <si>
    <t>BudgetVisualIndicators</t>
  </si>
  <si>
    <t>AnalyticsTimeRange</t>
  </si>
  <si>
    <t>AnalyticsDataAccuracy</t>
  </si>
  <si>
    <t>PlaidLinkStatusFeedback</t>
  </si>
  <si>
    <t>PlaidSandboxSupport</t>
  </si>
  <si>
    <t>AccountDeletion</t>
  </si>
  <si>
    <t>AccountDataIsolation</t>
  </si>
  <si>
    <t>Security</t>
  </si>
  <si>
    <t>RESTApiBackend</t>
  </si>
  <si>
    <t>BackendAuthMiddleware</t>
  </si>
  <si>
    <t>DatabasePersistence</t>
  </si>
  <si>
    <t>ErrorHandling</t>
  </si>
  <si>
    <t>CloudHosting</t>
  </si>
  <si>
    <t>DomainName</t>
  </si>
  <si>
    <t>HTTPSRequired</t>
  </si>
  <si>
    <t>DeploymentPipeline</t>
  </si>
  <si>
    <t>EnvironmentSeparation</t>
  </si>
  <si>
    <t>System should be hosted on a cloud platform.</t>
  </si>
  <si>
    <t>Application should be accessible via a registered domain name.</t>
  </si>
  <si>
    <t>Application should enforce HTTPS for all traffic.</t>
  </si>
  <si>
    <t>System should support repeatable deployment.</t>
  </si>
  <si>
    <t>System should support dev and production environments.</t>
  </si>
  <si>
    <t>Landing page should provide navigation to Login, Register, and informational sections.</t>
  </si>
  <si>
    <t>Landing page should render correctly on desktop and mobile devices.</t>
  </si>
  <si>
    <t>Landing page should be accessible without authentication.</t>
  </si>
  <si>
    <t>System should validate login inputs before authentication attempt.</t>
  </si>
  <si>
    <t>System should display clear error messages on failed login attempts.</t>
  </si>
  <si>
    <t>System should redirect authenticated users to the dashboard.</t>
  </si>
  <si>
    <t>System should notify users when registration is successful.</t>
  </si>
  <si>
    <t>System should create a default user profile upon registration.</t>
  </si>
  <si>
    <t>System should provide a password reset input page.</t>
  </si>
  <si>
    <t>System should confirm successful password reset to the user.</t>
  </si>
  <si>
    <t>Dashboard data should update after transaction syncs.</t>
  </si>
  <si>
    <t>Dashboard should display helpful messaging when no data exists.</t>
  </si>
  <si>
    <t>Users should be able to view a list of transactions.</t>
  </si>
  <si>
    <t>Users should be able to filter and sort transactions.</t>
  </si>
  <si>
    <t>Users should not be able to modify synced transaction amounts.</t>
  </si>
  <si>
    <t>Users should be able to view all created budgets.</t>
  </si>
  <si>
    <t>System should prevent negative or invalid budget values.</t>
  </si>
  <si>
    <t>Budgets should persist across sessions.</t>
  </si>
  <si>
    <t>System should provide a page to review budget performance.</t>
  </si>
  <si>
    <t>Page should compare budgeted amounts to actual spending.</t>
  </si>
  <si>
    <t>Page should visually indicate under/over budget states.</t>
  </si>
  <si>
    <t>Users should be able to change analytics time ranges.</t>
  </si>
  <si>
    <t>Analytics should reflect the same data as transactions and budgets.</t>
  </si>
  <si>
    <t>System should inform users of link success or failure.</t>
  </si>
  <si>
    <t>System should support Plaid sandbox mode for testing.</t>
  </si>
  <si>
    <t>Users should be able to delete their account.</t>
  </si>
  <si>
    <t>Users should only access their own data.</t>
  </si>
  <si>
    <t>System should expose a REST-based backend API.</t>
  </si>
  <si>
    <t>Backend should enforce authentication on protected routes.</t>
  </si>
  <si>
    <t>System should persist users, transactions, budgets, and accounts.</t>
  </si>
  <si>
    <t>Backend should return consistent error responses.</t>
  </si>
  <si>
    <t>Coresponding Page</t>
  </si>
  <si>
    <t>Page List</t>
  </si>
  <si>
    <t>Landing Page</t>
  </si>
  <si>
    <t>Login</t>
  </si>
  <si>
    <t>Register</t>
  </si>
  <si>
    <t>Dashboard</t>
  </si>
  <si>
    <t>My Budgets</t>
  </si>
  <si>
    <t>Budget Editor</t>
  </si>
  <si>
    <t>Analytics</t>
  </si>
  <si>
    <t>Transactions</t>
  </si>
  <si>
    <t>Account Settings</t>
  </si>
  <si>
    <t>Forgot Password</t>
  </si>
  <si>
    <t>Plaid Connection</t>
  </si>
  <si>
    <t>Backend</t>
  </si>
  <si>
    <t>Database</t>
  </si>
  <si>
    <t>No Relevant Category</t>
  </si>
  <si>
    <t>TransactionDe-duplication</t>
  </si>
  <si>
    <t>Req ID</t>
  </si>
  <si>
    <t>Sprint 1</t>
  </si>
  <si>
    <t>Coresponding page</t>
  </si>
  <si>
    <t>Req Name</t>
  </si>
  <si>
    <t>Person Assigned</t>
  </si>
  <si>
    <t>Us</t>
  </si>
  <si>
    <t>Aaron</t>
  </si>
  <si>
    <t>James</t>
  </si>
  <si>
    <t>Arthur</t>
  </si>
  <si>
    <t xml:space="preserve">Data Validation Lists: </t>
  </si>
  <si>
    <t>Sprint 2</t>
  </si>
  <si>
    <t>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</si>
</sst>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15">
    <border>
      <left/>
      <right/>
      <top/>
      <bottom/>
      <diagonal/>
    </border>
    <border>
      <left style="dotted">
        <color rgb="FF000000"/>
      </left>
      <right style="dotted">
        <color rgb="FF000000"/>
      </right>
      <top/>
      <bottom/>
      <diagonal/>
    </border>
    <border>
      <left style="medium">
        <color rgb="FF000000"/>
      </left>
      <right style="dotted">
        <color rgb="FF000000"/>
      </right>
      <top/>
      <bottom/>
      <diagonal/>
    </border>
    <border>
      <left style="dotted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hair">
        <color rgb="FF000000"/>
      </right>
      <top style="medium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medium">
        <color rgb="FF000000"/>
      </top>
      <bottom style="thin">
        <color rgb="FF000000"/>
      </bottom>
      <diagonal/>
    </border>
    <border>
      <left style="hair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hair">
        <color rgb="FF000000"/>
      </right>
      <top style="thin">
        <color rgb="FF000000"/>
      </top>
      <bottom style="medium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medium">
        <color rgb="FF000000"/>
      </bottom>
      <diagonal/>
    </border>
    <border>
      <left style="hair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thin">
        <color theme="4" tint="0.39997558519241921"/>
      </top>
      <bottom/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right" vertical="top"/>
    </xf>
    <xf numFmtId="0" fontId="0" fillId="2" borderId="2" xfId="0" applyFill="1" applyBorder="1" applyAlignment="1">
      <alignment horizontal="left" vertical="center"/>
    </xf>
    <xf numFmtId="0" fontId="0" fillId="2" borderId="1" xfId="0" applyFill="1" applyBorder="1" applyAlignment="1">
      <alignment horizontal="left" vertical="center" wrapText="1"/>
    </xf>
    <xf numFmtId="0" fontId="0" fillId="2" borderId="1" xfId="0" applyFill="1" applyBorder="1" applyAlignment="1">
      <alignment horizontal="left" vertical="center"/>
    </xf>
    <xf numFmtId="0" fontId="0" fillId="2" borderId="3" xfId="0" applyFill="1" applyBorder="1" applyAlignment="1">
      <alignment horizontal="left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/>
    </xf>
    <xf numFmtId="0" fontId="0" fillId="0" borderId="9" xfId="0" applyBorder="1" applyAlignment="1">
      <alignment horizontal="left" vertical="center" wrapText="1"/>
    </xf>
    <xf numFmtId="0" fontId="0" fillId="0" borderId="9" xfId="0" applyBorder="1" applyAlignment="1">
      <alignment horizontal="left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left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/>
    </xf>
    <xf numFmtId="0" fontId="0" fillId="0" borderId="12" xfId="0" applyBorder="1" applyAlignment="1">
      <alignment horizontal="left" vertical="center"/>
    </xf>
    <xf numFmtId="0" fontId="0" fillId="0" borderId="9" xfId="0" applyBorder="1" applyAlignment="1">
      <alignment vertical="center" wrapText="1"/>
    </xf>
    <xf numFmtId="0" fontId="0" fillId="0" borderId="9" xfId="0" applyBorder="1" applyAlignment="1">
      <alignment wrapText="1"/>
    </xf>
    <xf numFmtId="0" fontId="0" fillId="0" borderId="9" xfId="0" applyBorder="1"/>
    <xf numFmtId="0" fontId="0" fillId="0" borderId="7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4" borderId="14" xfId="0" applyFill="1" applyBorder="1"/>
    <xf numFmtId="0" fontId="0" fillId="0" borderId="14" xfId="0" applyBorder="1"/>
    <xf numFmtId="0" fontId="1" fillId="3" borderId="0" xfId="0" applyFont="1" applyFill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 shrinkToFit="1"/>
    </xf>
    <xf numFmtId="0" fontId="0" fillId="2" borderId="4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/>
    </xf>
  </cellXfs>
  <cellStyles count="1">
    <cellStyle name="Normal" xfId="0" builtinId="0"/>
  </cellStyles>
  <dxfs count="3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alignment horizontal="center" vertical="center" textRotation="0" wrapText="1" indent="0" justifyLastLine="0" shrinkToFit="1" readingOrder="0"/>
    </dxf>
    <dxf>
      <numFmt numFmtId="0" formatCode="General"/>
      <alignment horizontal="center" vertical="center" textRotation="0" wrapText="1" indent="0" justifyLastLine="0" shrinkToFit="1" readingOrder="0"/>
    </dxf>
    <dxf>
      <numFmt numFmtId="0" formatCode="General"/>
      <alignment horizontal="center" vertical="center" textRotation="0" wrapText="1" indent="0" justifyLastLine="0" shrinkToFit="1" readingOrder="0"/>
    </dxf>
    <dxf>
      <numFmt numFmtId="0" formatCode="General"/>
      <alignment horizontal="center" vertical="center" textRotation="0" wrapText="1" indent="0" justifyLastLine="0" shrinkToFit="1" readingOrder="0"/>
    </dxf>
    <dxf>
      <numFmt numFmtId="0" formatCode="General"/>
      <alignment horizontal="center" vertical="center" textRotation="0" wrapText="1" indent="0" justifyLastLine="0" shrinkToFit="1" readingOrder="0"/>
    </dxf>
    <dxf>
      <alignment horizontal="center" vertical="center" textRotation="0" wrapText="1" indent="0" justifyLastLine="0" shrinkToFit="1" readingOrder="0"/>
    </dxf>
    <dxf>
      <alignment horizontal="center" vertical="center" textRotation="0" wrapText="1" indent="0" justifyLastLine="0" shrinkToFit="1" readingOrder="0"/>
    </dxf>
    <dxf>
      <alignment horizontal="center" vertical="center" textRotation="0" wrapText="1" indent="0" justifyLastLine="0" shrinkToFit="1" readingOrder="0"/>
    </dxf>
    <dxf>
      <numFmt numFmtId="0" formatCode="General"/>
      <alignment horizontal="center" vertical="center" textRotation="0" wrapText="1" indent="0" justifyLastLine="0" shrinkToFit="1" readingOrder="0"/>
    </dxf>
    <dxf>
      <numFmt numFmtId="0" formatCode="General"/>
      <alignment horizontal="center" vertical="center" textRotation="0" wrapText="1" indent="0" justifyLastLine="0" shrinkToFit="1" readingOrder="0"/>
    </dxf>
    <dxf>
      <numFmt numFmtId="0" formatCode="General"/>
      <alignment horizontal="center" vertical="center" textRotation="0" wrapText="1" indent="0" justifyLastLine="0" shrinkToFit="1" readingOrder="0"/>
    </dxf>
    <dxf>
      <alignment horizontal="center" vertical="center" textRotation="0" wrapText="1" indent="0" justifyLastLine="0" shrinkToFit="1" readingOrder="0"/>
    </dxf>
    <dxf>
      <alignment horizontal="center" vertical="center" textRotation="0" wrapText="1" indent="0" justifyLastLine="0" shrinkToFit="1" readingOrder="0"/>
    </dxf>
    <dxf>
      <alignment horizontal="center" vertical="center" textRotation="0" wrapText="1" indent="0" justifyLastLine="0" shrinkToFit="1" readingOrder="0"/>
    </dxf>
    <dxf>
      <alignment horizontal="center" vertical="center" textRotation="0" wrapText="1" indent="0" justifyLastLine="0" shrinkToFit="0" readingOrder="0"/>
      <border diagonalUp="0" diagonalDown="0">
        <left style="hair">
          <color rgb="FF000000"/>
        </left>
        <right style="medium">
          <color rgb="FF000000"/>
        </right>
        <top style="thin">
          <color rgb="FF000000"/>
        </top>
        <bottom style="thin">
          <color rgb="FF000000"/>
        </bottom>
        <vertical style="hair">
          <color rgb="FF000000"/>
        </vertical>
        <horizontal style="thin">
          <color rgb="FF000000"/>
        </horizontal>
      </border>
    </dxf>
    <dxf>
      <alignment horizontal="general" vertical="bottom" textRotation="0" wrapText="1" indent="0" justifyLastLine="0" shrinkToFit="0" readingOrder="0"/>
      <border diagonalUp="0" diagonalDown="0">
        <left style="hair">
          <color rgb="FF000000"/>
        </left>
        <right style="hair">
          <color rgb="FF000000"/>
        </right>
        <top style="thin">
          <color rgb="FF000000"/>
        </top>
        <bottom style="thin">
          <color rgb="FF000000"/>
        </bottom>
        <vertical style="hair">
          <color rgb="FF000000"/>
        </vertical>
        <horizontal style="thin">
          <color rgb="FF000000"/>
        </horizontal>
      </border>
    </dxf>
    <dxf>
      <border diagonalUp="0" diagonalDown="0">
        <left style="hair">
          <color rgb="FF000000"/>
        </left>
        <right style="hair">
          <color rgb="FF000000"/>
        </right>
        <top style="thin">
          <color rgb="FF000000"/>
        </top>
        <bottom style="thin">
          <color rgb="FF000000"/>
        </bottom>
        <vertical style="hair">
          <color rgb="FF000000"/>
        </vertical>
        <horizontal style="thin">
          <color rgb="FF000000"/>
        </horizontal>
      </border>
    </dxf>
    <dxf>
      <border diagonalUp="0" diagonalDown="0">
        <left style="hair">
          <color rgb="FF000000"/>
        </left>
        <right style="hair">
          <color rgb="FF000000"/>
        </right>
        <top style="thin">
          <color rgb="FF000000"/>
        </top>
        <bottom style="thin">
          <color rgb="FF000000"/>
        </bottom>
        <vertical style="hair">
          <color rgb="FF000000"/>
        </vertical>
        <horizontal style="thin">
          <color rgb="FF000000"/>
        </horizontal>
      </border>
    </dxf>
    <dxf>
      <alignment horizontal="general" vertical="bottom" textRotation="0" wrapText="1" indent="0" justifyLastLine="0" shrinkToFit="0" readingOrder="0"/>
      <border diagonalUp="0" diagonalDown="0">
        <left style="hair">
          <color rgb="FF000000"/>
        </left>
        <right style="hair">
          <color rgb="FF000000"/>
        </right>
        <top style="thin">
          <color rgb="FF000000"/>
        </top>
        <bottom style="thin">
          <color rgb="FF000000"/>
        </bottom>
        <vertical style="hair">
          <color rgb="FF000000"/>
        </vertical>
        <horizontal style="thin">
          <color rgb="FF000000"/>
        </horizontal>
      </border>
    </dxf>
    <dxf>
      <alignment horizontal="general" vertical="center" textRotation="0" wrapText="1" indent="0" justifyLastLine="0" shrinkToFit="0" readingOrder="0"/>
      <border diagonalUp="0" diagonalDown="0">
        <left style="hair">
          <color rgb="FF000000"/>
        </left>
        <right style="hair">
          <color rgb="FF000000"/>
        </right>
        <top style="thin">
          <color rgb="FF000000"/>
        </top>
        <bottom style="thin">
          <color rgb="FF000000"/>
        </bottom>
        <vertical style="hair">
          <color rgb="FF000000"/>
        </vertical>
        <horizontal style="thin">
          <color rgb="FF000000"/>
        </horizontal>
      </border>
    </dxf>
    <dxf>
      <alignment horizontal="center" vertical="center"/>
      <border diagonalUp="0" diagonalDown="0">
        <left style="medium">
          <color rgb="FF000000"/>
        </left>
        <right style="hair">
          <color rgb="FF000000"/>
        </right>
        <top style="thin">
          <color rgb="FF000000"/>
        </top>
        <bottom style="thin">
          <color rgb="FF000000"/>
        </bottom>
        <vertical style="hair">
          <color rgb="FF000000"/>
        </vertical>
        <horizontal style="thin">
          <color rgb="FF000000"/>
        </horizontal>
      </border>
    </dxf>
    <dxf>
      <border outline="0">
        <top style="thin">
          <color rgb="FF000000"/>
        </top>
      </border>
    </dxf>
    <dxf>
      <alignment horizontal="general" vertical="bottom" textRotation="0" wrapText="1" indent="0" justifyLastLine="0" shrinkToFit="0" readingOrder="0"/>
    </dxf>
    <dxf>
      <border outline="0">
        <bottom style="thin">
          <color rgb="FF000000"/>
        </bottom>
      </border>
    </dxf>
    <dxf>
      <font>
        <b val="0"/>
        <color theme="1"/>
      </font>
      <fill>
        <patternFill patternType="solid">
          <fgColor indexed="64"/>
          <bgColor theme="1" tint="0.499984740745262"/>
        </patternFill>
      </fill>
      <alignment horizontal="center" vertical="center" textRotation="0" wrapText="1" indent="0" justifyLastLine="0" shrinkToFit="0" readingOrder="0"/>
      <border diagonalUp="0" diagonalDown="0">
        <left style="dotted">
          <color rgb="FF000000"/>
        </left>
        <right style="dotted">
          <color rgb="FF000000"/>
        </right>
        <top/>
        <bottom/>
        <vertical style="dotted">
          <color rgb="FF000000"/>
        </vertic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RichValue" Target="richData/rdrichvalue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17/10/relationships/person" Target="persons/person.xml"/><Relationship Id="rId5" Type="http://schemas.openxmlformats.org/officeDocument/2006/relationships/styles" Target="styles.xml"/><Relationship Id="rId15" Type="http://schemas.openxmlformats.org/officeDocument/2006/relationships/customXml" Target="../customXml/item3.xml"/><Relationship Id="rId10" Type="http://schemas.microsoft.com/office/2017/06/relationships/rdRichValueTypes" Target="richData/rdRichValueTypes.xml"/><Relationship Id="rId4" Type="http://schemas.openxmlformats.org/officeDocument/2006/relationships/theme" Target="theme/theme1.xml"/><Relationship Id="rId9" Type="http://schemas.microsoft.com/office/2017/06/relationships/rdRichValueStructure" Target="richData/rdrichvaluestructure.xml"/><Relationship Id="rId14" Type="http://schemas.openxmlformats.org/officeDocument/2006/relationships/customXml" Target="../customXml/item2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8</v>
    <v>247</v>
    <v>5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7199D22-9215-4B0C-9807-FB7E1238BE34}" name="reqTable" displayName="reqTable" ref="A3:G199" totalsRowShown="0" headerRowDxfId="36" dataDxfId="34" headerRowBorderDxfId="35" tableBorderDxfId="33">
  <autoFilter ref="A3:G199" xr:uid="{C7199D22-9215-4B0C-9807-FB7E1238BE34}"/>
  <sortState xmlns:xlrd2="http://schemas.microsoft.com/office/spreadsheetml/2017/richdata2" ref="A4:G199">
    <sortCondition ref="A3:A199"/>
  </sortState>
  <tableColumns count="7">
    <tableColumn id="1" xr3:uid="{3A7A600A-1DA1-4922-8B5C-EA7F5916D6F1}" name="Id" dataDxfId="32"/>
    <tableColumn id="2" xr3:uid="{7CCEC0A3-6D1F-4447-81D8-7A5C34162FAA}" name="Name" dataDxfId="31"/>
    <tableColumn id="3" xr3:uid="{BA1682BF-CB58-4CF4-9872-932AB80A21AC}" name="Desc." dataDxfId="30"/>
    <tableColumn id="4" xr3:uid="{DF89F807-876E-4BFA-89AC-8D0A69D0249E}" name="Type of Requirement" dataDxfId="29"/>
    <tableColumn id="5" xr3:uid="{B1A322B4-1658-4674-88AD-97D0077EAF37}" name="Priority" dataDxfId="28"/>
    <tableColumn id="6" xr3:uid="{A1531E8B-5EB6-463A-AC3A-027F48D4DA7D}" name="Dependancies" dataDxfId="27"/>
    <tableColumn id="7" xr3:uid="{83B27A02-2618-486F-806B-D2DDC4359E2F}" name="Coresponding Page" dataDxfId="26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444398-8636-4565-8959-501AF59D1AA4}" name="Sprint1" displayName="Sprint1" ref="B2:F250" totalsRowShown="0" headerRowDxfId="25" dataDxfId="24">
  <autoFilter ref="B2:F250" xr:uid="{07444398-8636-4565-8959-501AF59D1AA4}"/>
  <tableColumns count="5">
    <tableColumn id="1" xr3:uid="{8B9C1956-687F-4740-8D36-A0353B5B4FD3}" name="Req ID" dataDxfId="23"/>
    <tableColumn id="2" xr3:uid="{4C5A370F-7901-4226-B459-91BEA1DD4FEA}" name="Req Name" dataDxfId="22">
      <calculatedColumnFormula>IF(B3&lt;&gt;"", LOOKUP(B3,reqTable[Id],reqTable[Name]),"")</calculatedColumnFormula>
    </tableColumn>
    <tableColumn id="3" xr3:uid="{24936134-B08F-41F3-A2E6-493C2F214917}" name="Coresponding page" dataDxfId="21">
      <calculatedColumnFormula>IF(C3&lt;&gt;"", LOOKUP(C3,reqTable[Name],reqTable[Coresponding Page]),"")</calculatedColumnFormula>
    </tableColumn>
    <tableColumn id="4" xr3:uid="{BB2B6341-82E5-411E-8059-766F2A86EAEA}" name="Priority" dataDxfId="20">
      <calculatedColumnFormula>IF(D3&lt;&gt;"", LOOKUP(D3,reqTable[Coresponding Page],reqTable[Priority]),"")</calculatedColumnFormula>
    </tableColumn>
    <tableColumn id="5" xr3:uid="{5048C1ED-49F9-4626-91F6-5E4744EE0B55}" name="Person Assigned" dataDxfId="1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581A452-69B8-4B2B-B418-6D820E886814}" name="Sprint2" displayName="Sprint2" ref="H2:L250" totalsRowShown="0" headerRowDxfId="18" dataDxfId="17">
  <autoFilter ref="H2:L250" xr:uid="{9581A452-69B8-4B2B-B418-6D820E886814}"/>
  <tableColumns count="5">
    <tableColumn id="1" xr3:uid="{F83D5770-0D17-4E92-A8C8-C54F84E19B86}" name="Req ID" dataDxfId="16"/>
    <tableColumn id="2" xr3:uid="{50A2D33F-4A44-4936-9F88-9B765EBE4870}" name="Req Name" dataDxfId="15"/>
    <tableColumn id="3" xr3:uid="{68CAD37C-99ED-450D-A5B2-1E14F1CDE348}" name="Coresponding page" dataDxfId="14">
      <calculatedColumnFormula>IF(I3&lt;&gt;"", LOOKUP(I3,reqTable[Name],reqTable[Coresponding Page]),"")</calculatedColumnFormula>
    </tableColumn>
    <tableColumn id="4" xr3:uid="{94619171-A1D0-401E-B3A3-756864891DBF}" name="Priority" dataDxfId="13">
      <calculatedColumnFormula>IF(J3&lt;&gt;"", LOOKUP(J3,reqTable[Coresponding Page],reqTable[Priority]),"")</calculatedColumnFormula>
    </tableColumn>
    <tableColumn id="5" xr3:uid="{F09566CE-650B-435E-A2FB-7C8209380CE4}" name="Person Assigned" dataDxfId="1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223CE56-A82D-41FB-90D0-2900969E7C35}" name="Table4" displayName="Table4" ref="A2:A16" totalsRowShown="0" headerRowDxfId="11" dataDxfId="10" tableBorderDxfId="9">
  <autoFilter ref="A2:A16" xr:uid="{B223CE56-A82D-41FB-90D0-2900969E7C35}"/>
  <sortState xmlns:xlrd2="http://schemas.microsoft.com/office/spreadsheetml/2017/richdata2" ref="A3:A16">
    <sortCondition ref="A2:A16"/>
  </sortState>
  <tableColumns count="1">
    <tableColumn id="1" xr3:uid="{6F749FAC-4C9B-474A-AC14-EB3B534E18C2}" name="Types of Requirements" dataDxfId="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15A184A-B420-4187-B36C-19BC1F7AB5C3}" name="Table5" displayName="Table5" ref="B2:B16" totalsRowShown="0" headerRowDxfId="7" dataDxfId="6" tableBorderDxfId="5">
  <autoFilter ref="B2:B16" xr:uid="{615A184A-B420-4187-B36C-19BC1F7AB5C3}"/>
  <sortState xmlns:xlrd2="http://schemas.microsoft.com/office/spreadsheetml/2017/richdata2" ref="B3:B16">
    <sortCondition ref="B2:B16"/>
  </sortState>
  <tableColumns count="1">
    <tableColumn id="1" xr3:uid="{DB637784-7978-4FD2-BD16-653D3482F5B5}" name="Page List" dataDxfId="4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B98753C-4508-4DF8-BB18-9FCB3842A3C3}" name="Table6" displayName="Table6" ref="C2:C16" totalsRowShown="0" headerRowDxfId="3" dataDxfId="2" tableBorderDxfId="1">
  <autoFilter ref="C2:C16" xr:uid="{AB98753C-4508-4DF8-BB18-9FCB3842A3C3}"/>
  <tableColumns count="1">
    <tableColumn id="1" xr3:uid="{EE8C458D-7BBC-4894-80D7-E5438EA38F9B}" name="Priorities" dataDxfId="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C04509F-4A2F-4317-AB6C-8BFA57AE4ED1}" name="Table9" displayName="Table9" ref="D2:D16" totalsRowShown="0">
  <autoFilter ref="D2:D16" xr:uid="{AC04509F-4A2F-4317-AB6C-8BFA57AE4ED1}"/>
  <tableColumns count="1">
    <tableColumn id="1" xr3:uid="{8F46B609-8F0E-48E0-8949-C1305476ECB4}" name="Us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C8B3676C-66B1-4821-9A41-DF3D3B0B336F}" name="ResolvedID" displayName="ResolvedID" ref="G1:G2" totalsRowShown="0">
  <autoFilter ref="G1:G2" xr:uid="{C8B3676C-66B1-4821-9A41-DF3D3B0B336F}"/>
  <tableColumns count="1">
    <tableColumn id="1" xr3:uid="{EB41C2FA-548A-457A-BFD0-BFFFE3DC9848}" name="ID">
      <calculatedColumnFormula array="1">_xlfn.LET(
  _xlpm.typedId, Sprint2[Req ID],
  _xlpm.typedName, Sprint2[Req Name],
  _xlpm.fromName, _xlfn.XLOOKUP(_xlpm.typedName, reqTable[Name], reqTable[Id], ""),
  IF(LEN(_xlpm.typedId)&gt;0, _xlpm.typedId, _xlpm.fromName)
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table" Target="../tables/table4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AEAFC-2C34-4BE8-8F54-DA95482416A2}">
  <sheetPr codeName="Sheet1"/>
  <dimension ref="A1:G199"/>
  <sheetViews>
    <sheetView workbookViewId="0">
      <selection activeCell="A4" sqref="A4"/>
    </sheetView>
  </sheetViews>
  <sheetFormatPr defaultRowHeight="15" customHeight="1" x14ac:dyDescent="0.25"/>
  <cols>
    <col min="1" max="1" width="4.5703125" style="3" customWidth="1"/>
    <col min="2" max="2" width="27.7109375" style="2" bestFit="1" customWidth="1"/>
    <col min="3" max="3" width="31.28515625" style="1" customWidth="1"/>
    <col min="4" max="4" width="22.85546875" customWidth="1"/>
    <col min="5" max="5" width="12.140625" bestFit="1" customWidth="1"/>
    <col min="6" max="6" width="23.42578125" style="1" customWidth="1"/>
    <col min="7" max="7" width="23.5703125" customWidth="1"/>
    <col min="8" max="8" width="20.28515625" bestFit="1" customWidth="1"/>
    <col min="9" max="9" width="19.7109375" customWidth="1"/>
    <col min="10" max="10" width="10.7109375" bestFit="1" customWidth="1"/>
  </cols>
  <sheetData>
    <row r="1" spans="1:7" x14ac:dyDescent="0.25">
      <c r="A1"/>
      <c r="B1"/>
      <c r="C1"/>
      <c r="F1"/>
    </row>
    <row r="2" spans="1:7" ht="14.45" customHeight="1" x14ac:dyDescent="0.25">
      <c r="A2" s="33" t="s">
        <v>0</v>
      </c>
      <c r="B2" s="34"/>
      <c r="C2" s="34"/>
      <c r="D2" s="34"/>
      <c r="E2" s="34"/>
      <c r="F2" s="34"/>
      <c r="G2" s="34"/>
    </row>
    <row r="3" spans="1:7" ht="15.75" thickBot="1" x14ac:dyDescent="0.3">
      <c r="A3" s="4" t="s">
        <v>3</v>
      </c>
      <c r="B3" s="5" t="s">
        <v>4</v>
      </c>
      <c r="C3" s="5" t="s">
        <v>5</v>
      </c>
      <c r="D3" s="6" t="s">
        <v>6</v>
      </c>
      <c r="E3" s="6" t="s">
        <v>7</v>
      </c>
      <c r="F3" s="7" t="s">
        <v>8</v>
      </c>
      <c r="G3" s="8" t="s">
        <v>166</v>
      </c>
    </row>
    <row r="4" spans="1:7" ht="45" x14ac:dyDescent="0.25">
      <c r="A4" s="9">
        <v>0</v>
      </c>
      <c r="B4" s="10" t="s">
        <v>11</v>
      </c>
      <c r="C4" s="10" t="s">
        <v>12</v>
      </c>
      <c r="D4" s="11" t="s">
        <v>9</v>
      </c>
      <c r="E4" s="11" t="s">
        <v>10</v>
      </c>
      <c r="F4" s="10" t="s">
        <v>126</v>
      </c>
      <c r="G4" s="25" t="s">
        <v>168</v>
      </c>
    </row>
    <row r="5" spans="1:7" ht="30" x14ac:dyDescent="0.25">
      <c r="A5" s="12">
        <v>1</v>
      </c>
      <c r="B5" s="13" t="s">
        <v>129</v>
      </c>
      <c r="C5" s="13" t="s">
        <v>134</v>
      </c>
      <c r="D5" s="13" t="s">
        <v>13</v>
      </c>
      <c r="E5" s="13" t="s">
        <v>14</v>
      </c>
      <c r="F5" s="13" t="s">
        <v>125</v>
      </c>
      <c r="G5" s="26" t="s">
        <v>181</v>
      </c>
    </row>
    <row r="6" spans="1:7" ht="45" x14ac:dyDescent="0.25">
      <c r="A6" s="12">
        <v>2</v>
      </c>
      <c r="B6" s="13" t="s">
        <v>16</v>
      </c>
      <c r="C6" s="13" t="s">
        <v>17</v>
      </c>
      <c r="D6" s="14" t="s">
        <v>9</v>
      </c>
      <c r="E6" s="14" t="s">
        <v>10</v>
      </c>
      <c r="F6" s="13" t="s">
        <v>123</v>
      </c>
      <c r="G6" s="26" t="s">
        <v>170</v>
      </c>
    </row>
    <row r="7" spans="1:7" ht="45" x14ac:dyDescent="0.25">
      <c r="A7" s="12">
        <v>3</v>
      </c>
      <c r="B7" s="13" t="s">
        <v>19</v>
      </c>
      <c r="C7" s="13" t="s">
        <v>20</v>
      </c>
      <c r="D7" s="14" t="s">
        <v>9</v>
      </c>
      <c r="E7" s="14" t="s">
        <v>10</v>
      </c>
      <c r="F7" s="13" t="s">
        <v>16</v>
      </c>
      <c r="G7" s="26" t="s">
        <v>170</v>
      </c>
    </row>
    <row r="8" spans="1:7" ht="30" x14ac:dyDescent="0.25">
      <c r="A8" s="12">
        <v>4</v>
      </c>
      <c r="B8" s="13" t="s">
        <v>21</v>
      </c>
      <c r="C8" s="13" t="s">
        <v>22</v>
      </c>
      <c r="D8" s="14" t="s">
        <v>13</v>
      </c>
      <c r="E8" s="14" t="s">
        <v>27</v>
      </c>
      <c r="F8" s="13" t="s">
        <v>16</v>
      </c>
      <c r="G8" s="26" t="s">
        <v>170</v>
      </c>
    </row>
    <row r="9" spans="1:7" ht="30" x14ac:dyDescent="0.25">
      <c r="A9" s="12">
        <v>5</v>
      </c>
      <c r="B9" s="13" t="s">
        <v>23</v>
      </c>
      <c r="C9" s="13" t="s">
        <v>24</v>
      </c>
      <c r="D9" s="14" t="s">
        <v>9</v>
      </c>
      <c r="E9" s="14" t="s">
        <v>10</v>
      </c>
      <c r="F9" s="13" t="s">
        <v>16</v>
      </c>
      <c r="G9" s="26" t="s">
        <v>169</v>
      </c>
    </row>
    <row r="10" spans="1:7" ht="30" x14ac:dyDescent="0.25">
      <c r="A10" s="12">
        <v>6</v>
      </c>
      <c r="B10" s="13" t="s">
        <v>25</v>
      </c>
      <c r="C10" s="13" t="s">
        <v>26</v>
      </c>
      <c r="D10" s="14" t="s">
        <v>9</v>
      </c>
      <c r="E10" s="14" t="s">
        <v>27</v>
      </c>
      <c r="F10" s="13" t="s">
        <v>23</v>
      </c>
      <c r="G10" s="26" t="s">
        <v>179</v>
      </c>
    </row>
    <row r="11" spans="1:7" ht="30" x14ac:dyDescent="0.25">
      <c r="A11" s="12">
        <v>7</v>
      </c>
      <c r="B11" s="13" t="s">
        <v>28</v>
      </c>
      <c r="C11" s="13" t="s">
        <v>29</v>
      </c>
      <c r="D11" s="14" t="s">
        <v>9</v>
      </c>
      <c r="E11" s="14" t="s">
        <v>10</v>
      </c>
      <c r="F11" s="13" t="s">
        <v>23</v>
      </c>
      <c r="G11" s="26" t="s">
        <v>179</v>
      </c>
    </row>
    <row r="12" spans="1:7" ht="30" x14ac:dyDescent="0.25">
      <c r="A12" s="12">
        <v>8</v>
      </c>
      <c r="B12" s="13" t="s">
        <v>31</v>
      </c>
      <c r="C12" s="13" t="s">
        <v>32</v>
      </c>
      <c r="D12" s="14" t="s">
        <v>30</v>
      </c>
      <c r="E12" s="14" t="s">
        <v>10</v>
      </c>
      <c r="F12" s="13" t="s">
        <v>16</v>
      </c>
      <c r="G12" s="26" t="s">
        <v>179</v>
      </c>
    </row>
    <row r="13" spans="1:7" ht="30" x14ac:dyDescent="0.25">
      <c r="A13" s="12">
        <v>9</v>
      </c>
      <c r="B13" s="13" t="s">
        <v>33</v>
      </c>
      <c r="C13" s="13" t="s">
        <v>34</v>
      </c>
      <c r="D13" s="14" t="s">
        <v>9</v>
      </c>
      <c r="E13" s="14" t="s">
        <v>14</v>
      </c>
      <c r="F13" s="13" t="s">
        <v>23</v>
      </c>
      <c r="G13" s="26" t="s">
        <v>177</v>
      </c>
    </row>
    <row r="14" spans="1:7" ht="30" x14ac:dyDescent="0.25">
      <c r="A14" s="12">
        <v>10</v>
      </c>
      <c r="B14" s="13" t="s">
        <v>35</v>
      </c>
      <c r="C14" s="13" t="s">
        <v>36</v>
      </c>
      <c r="D14" s="14" t="s">
        <v>30</v>
      </c>
      <c r="E14" s="14" t="s">
        <v>14</v>
      </c>
      <c r="F14" s="13" t="s">
        <v>33</v>
      </c>
      <c r="G14" s="26" t="s">
        <v>177</v>
      </c>
    </row>
    <row r="15" spans="1:7" ht="30" x14ac:dyDescent="0.25">
      <c r="A15" s="12">
        <v>11</v>
      </c>
      <c r="B15" s="13" t="s">
        <v>37</v>
      </c>
      <c r="C15" s="13" t="s">
        <v>38</v>
      </c>
      <c r="D15" s="14" t="s">
        <v>30</v>
      </c>
      <c r="E15" s="14" t="s">
        <v>14</v>
      </c>
      <c r="F15" s="13" t="s">
        <v>23</v>
      </c>
      <c r="G15" s="26" t="s">
        <v>169</v>
      </c>
    </row>
    <row r="16" spans="1:7" ht="45" x14ac:dyDescent="0.25">
      <c r="A16" s="12">
        <v>12</v>
      </c>
      <c r="B16" s="13" t="s">
        <v>39</v>
      </c>
      <c r="C16" s="13" t="s">
        <v>40</v>
      </c>
      <c r="D16" s="14" t="s">
        <v>9</v>
      </c>
      <c r="E16" s="14" t="s">
        <v>10</v>
      </c>
      <c r="F16" s="13" t="s">
        <v>23</v>
      </c>
      <c r="G16" s="26" t="s">
        <v>171</v>
      </c>
    </row>
    <row r="17" spans="1:7" ht="45" x14ac:dyDescent="0.25">
      <c r="A17" s="12">
        <v>13</v>
      </c>
      <c r="B17" s="13" t="s">
        <v>41</v>
      </c>
      <c r="C17" s="13" t="s">
        <v>42</v>
      </c>
      <c r="D17" s="14" t="s">
        <v>18</v>
      </c>
      <c r="E17" s="14" t="s">
        <v>10</v>
      </c>
      <c r="F17" s="13" t="s">
        <v>39</v>
      </c>
      <c r="G17" s="26" t="s">
        <v>171</v>
      </c>
    </row>
    <row r="18" spans="1:7" ht="30" x14ac:dyDescent="0.25">
      <c r="A18" s="12">
        <v>14</v>
      </c>
      <c r="B18" s="13" t="s">
        <v>43</v>
      </c>
      <c r="C18" s="13" t="s">
        <v>44</v>
      </c>
      <c r="D18" s="14" t="s">
        <v>18</v>
      </c>
      <c r="E18" s="14" t="s">
        <v>14</v>
      </c>
      <c r="F18" s="13" t="s">
        <v>39</v>
      </c>
      <c r="G18" s="26" t="s">
        <v>171</v>
      </c>
    </row>
    <row r="19" spans="1:7" ht="30" x14ac:dyDescent="0.25">
      <c r="A19" s="12">
        <v>15</v>
      </c>
      <c r="B19" s="13" t="s">
        <v>45</v>
      </c>
      <c r="C19" s="13" t="s">
        <v>46</v>
      </c>
      <c r="D19" s="14" t="s">
        <v>9</v>
      </c>
      <c r="E19" s="14" t="s">
        <v>10</v>
      </c>
      <c r="F19" s="13" t="s">
        <v>23</v>
      </c>
      <c r="G19" s="26" t="s">
        <v>178</v>
      </c>
    </row>
    <row r="20" spans="1:7" ht="45" x14ac:dyDescent="0.25">
      <c r="A20" s="12">
        <v>16</v>
      </c>
      <c r="B20" s="13" t="s">
        <v>47</v>
      </c>
      <c r="C20" s="13" t="s">
        <v>48</v>
      </c>
      <c r="D20" s="14" t="s">
        <v>9</v>
      </c>
      <c r="E20" s="14" t="s">
        <v>10</v>
      </c>
      <c r="F20" s="13" t="s">
        <v>45</v>
      </c>
      <c r="G20" s="26" t="s">
        <v>178</v>
      </c>
    </row>
    <row r="21" spans="1:7" ht="30" x14ac:dyDescent="0.25">
      <c r="A21" s="12">
        <v>17</v>
      </c>
      <c r="B21" s="13" t="s">
        <v>49</v>
      </c>
      <c r="C21" s="13" t="s">
        <v>50</v>
      </c>
      <c r="D21" s="14" t="s">
        <v>30</v>
      </c>
      <c r="E21" s="14" t="s">
        <v>10</v>
      </c>
      <c r="F21" s="13" t="s">
        <v>47</v>
      </c>
      <c r="G21" s="26" t="s">
        <v>178</v>
      </c>
    </row>
    <row r="22" spans="1:7" ht="45" x14ac:dyDescent="0.25">
      <c r="A22" s="12">
        <v>18</v>
      </c>
      <c r="B22" s="13" t="s">
        <v>51</v>
      </c>
      <c r="C22" s="13" t="s">
        <v>52</v>
      </c>
      <c r="D22" s="14" t="s">
        <v>13</v>
      </c>
      <c r="E22" s="14" t="s">
        <v>10</v>
      </c>
      <c r="F22" s="13" t="s">
        <v>49</v>
      </c>
      <c r="G22" s="26" t="s">
        <v>178</v>
      </c>
    </row>
    <row r="23" spans="1:7" ht="30" x14ac:dyDescent="0.25">
      <c r="A23" s="12">
        <v>19</v>
      </c>
      <c r="B23" s="13" t="s">
        <v>53</v>
      </c>
      <c r="C23" s="13" t="s">
        <v>54</v>
      </c>
      <c r="D23" s="14" t="s">
        <v>9</v>
      </c>
      <c r="E23" s="14" t="s">
        <v>27</v>
      </c>
      <c r="F23" s="13" t="s">
        <v>51</v>
      </c>
      <c r="G23" s="26" t="s">
        <v>176</v>
      </c>
    </row>
    <row r="24" spans="1:7" ht="45" x14ac:dyDescent="0.25">
      <c r="A24" s="12">
        <v>20</v>
      </c>
      <c r="B24" s="13" t="s">
        <v>55</v>
      </c>
      <c r="C24" s="13" t="s">
        <v>56</v>
      </c>
      <c r="D24" s="14" t="s">
        <v>9</v>
      </c>
      <c r="E24" s="14" t="s">
        <v>10</v>
      </c>
      <c r="F24" s="13" t="s">
        <v>51</v>
      </c>
      <c r="G24" s="26" t="s">
        <v>175</v>
      </c>
    </row>
    <row r="25" spans="1:7" ht="30" x14ac:dyDescent="0.25">
      <c r="A25" s="12">
        <v>21</v>
      </c>
      <c r="B25" s="13" t="s">
        <v>182</v>
      </c>
      <c r="C25" s="13" t="s">
        <v>57</v>
      </c>
      <c r="D25" s="14" t="s">
        <v>13</v>
      </c>
      <c r="E25" s="14" t="s">
        <v>10</v>
      </c>
      <c r="F25" s="13" t="s">
        <v>55</v>
      </c>
      <c r="G25" s="26" t="s">
        <v>175</v>
      </c>
    </row>
    <row r="26" spans="1:7" ht="30" x14ac:dyDescent="0.25">
      <c r="A26" s="12">
        <v>22</v>
      </c>
      <c r="B26" s="13" t="s">
        <v>58</v>
      </c>
      <c r="C26" s="13" t="s">
        <v>59</v>
      </c>
      <c r="D26" s="14" t="s">
        <v>9</v>
      </c>
      <c r="E26" s="14" t="s">
        <v>10</v>
      </c>
      <c r="F26" s="13" t="s">
        <v>55</v>
      </c>
      <c r="G26" s="26" t="s">
        <v>175</v>
      </c>
    </row>
    <row r="27" spans="1:7" ht="30" x14ac:dyDescent="0.25">
      <c r="A27" s="12">
        <v>23</v>
      </c>
      <c r="B27" s="13" t="s">
        <v>60</v>
      </c>
      <c r="C27" s="13" t="s">
        <v>61</v>
      </c>
      <c r="D27" s="14" t="s">
        <v>9</v>
      </c>
      <c r="E27" s="14" t="s">
        <v>27</v>
      </c>
      <c r="F27" s="13" t="s">
        <v>23</v>
      </c>
      <c r="G27" s="26" t="s">
        <v>173</v>
      </c>
    </row>
    <row r="28" spans="1:7" ht="30" x14ac:dyDescent="0.25">
      <c r="A28" s="12">
        <v>24</v>
      </c>
      <c r="B28" s="13" t="s">
        <v>62</v>
      </c>
      <c r="C28" s="13" t="s">
        <v>63</v>
      </c>
      <c r="D28" s="14" t="s">
        <v>9</v>
      </c>
      <c r="E28" s="14" t="s">
        <v>10</v>
      </c>
      <c r="F28" s="13" t="s">
        <v>60</v>
      </c>
      <c r="G28" s="26" t="s">
        <v>173</v>
      </c>
    </row>
    <row r="29" spans="1:7" ht="30" x14ac:dyDescent="0.25">
      <c r="A29" s="12">
        <v>25</v>
      </c>
      <c r="B29" s="13" t="s">
        <v>64</v>
      </c>
      <c r="C29" s="13" t="s">
        <v>65</v>
      </c>
      <c r="D29" s="14" t="s">
        <v>9</v>
      </c>
      <c r="E29" s="14" t="s">
        <v>10</v>
      </c>
      <c r="F29" s="13" t="s">
        <v>62</v>
      </c>
      <c r="G29" s="26" t="s">
        <v>173</v>
      </c>
    </row>
    <row r="30" spans="1:7" ht="30" x14ac:dyDescent="0.25">
      <c r="A30" s="12">
        <v>26</v>
      </c>
      <c r="B30" s="13" t="s">
        <v>66</v>
      </c>
      <c r="C30" s="13" t="s">
        <v>67</v>
      </c>
      <c r="D30" s="14" t="s">
        <v>9</v>
      </c>
      <c r="E30" s="14" t="s">
        <v>27</v>
      </c>
      <c r="F30" s="13" t="s">
        <v>62</v>
      </c>
      <c r="G30" s="26" t="s">
        <v>173</v>
      </c>
    </row>
    <row r="31" spans="1:7" ht="45" x14ac:dyDescent="0.25">
      <c r="A31" s="12">
        <v>27</v>
      </c>
      <c r="B31" s="13" t="s">
        <v>68</v>
      </c>
      <c r="C31" s="13" t="s">
        <v>69</v>
      </c>
      <c r="D31" s="14" t="s">
        <v>13</v>
      </c>
      <c r="E31" s="14" t="s">
        <v>10</v>
      </c>
      <c r="F31" s="13" t="s">
        <v>70</v>
      </c>
      <c r="G31" s="26" t="s">
        <v>172</v>
      </c>
    </row>
    <row r="32" spans="1:7" ht="30" x14ac:dyDescent="0.25">
      <c r="A32" s="12">
        <v>28</v>
      </c>
      <c r="B32" s="13" t="s">
        <v>71</v>
      </c>
      <c r="C32" s="13" t="s">
        <v>72</v>
      </c>
      <c r="D32" s="14" t="s">
        <v>18</v>
      </c>
      <c r="E32" s="14" t="s">
        <v>10</v>
      </c>
      <c r="F32" s="13" t="s">
        <v>68</v>
      </c>
      <c r="G32" s="26" t="s">
        <v>172</v>
      </c>
    </row>
    <row r="33" spans="1:7" ht="45" x14ac:dyDescent="0.25">
      <c r="A33" s="12">
        <v>29</v>
      </c>
      <c r="B33" s="13" t="s">
        <v>73</v>
      </c>
      <c r="C33" s="13" t="s">
        <v>74</v>
      </c>
      <c r="D33" s="14" t="s">
        <v>9</v>
      </c>
      <c r="E33" s="14" t="s">
        <v>10</v>
      </c>
      <c r="F33" s="13" t="s">
        <v>55</v>
      </c>
      <c r="G33" s="26" t="s">
        <v>174</v>
      </c>
    </row>
    <row r="34" spans="1:7" ht="30" x14ac:dyDescent="0.25">
      <c r="A34" s="12">
        <v>30</v>
      </c>
      <c r="B34" s="13" t="s">
        <v>75</v>
      </c>
      <c r="C34" s="13" t="s">
        <v>76</v>
      </c>
      <c r="D34" s="14" t="s">
        <v>18</v>
      </c>
      <c r="E34" s="14" t="s">
        <v>27</v>
      </c>
      <c r="F34" s="13" t="s">
        <v>73</v>
      </c>
      <c r="G34" s="26" t="s">
        <v>174</v>
      </c>
    </row>
    <row r="35" spans="1:7" ht="30" x14ac:dyDescent="0.25">
      <c r="A35" s="12">
        <v>31</v>
      </c>
      <c r="B35" s="13" t="s">
        <v>77</v>
      </c>
      <c r="C35" s="13" t="s">
        <v>78</v>
      </c>
      <c r="D35" s="14" t="s">
        <v>18</v>
      </c>
      <c r="E35" s="14" t="s">
        <v>27</v>
      </c>
      <c r="F35" s="13" t="s">
        <v>73</v>
      </c>
      <c r="G35" s="26" t="s">
        <v>174</v>
      </c>
    </row>
    <row r="36" spans="1:7" ht="30" x14ac:dyDescent="0.25">
      <c r="A36" s="12">
        <v>32</v>
      </c>
      <c r="B36" s="13" t="s">
        <v>79</v>
      </c>
      <c r="C36" s="13" t="s">
        <v>80</v>
      </c>
      <c r="D36" s="14" t="s">
        <v>9</v>
      </c>
      <c r="E36" s="14" t="s">
        <v>10</v>
      </c>
      <c r="F36" s="13" t="s">
        <v>23</v>
      </c>
      <c r="G36" s="26" t="s">
        <v>176</v>
      </c>
    </row>
    <row r="37" spans="1:7" ht="30" x14ac:dyDescent="0.25">
      <c r="A37" s="12">
        <v>33</v>
      </c>
      <c r="B37" s="13" t="s">
        <v>81</v>
      </c>
      <c r="C37" s="13" t="s">
        <v>82</v>
      </c>
      <c r="D37" s="14" t="s">
        <v>9</v>
      </c>
      <c r="E37" s="14" t="s">
        <v>14</v>
      </c>
      <c r="F37" s="13" t="s">
        <v>79</v>
      </c>
      <c r="G37" s="26" t="s">
        <v>176</v>
      </c>
    </row>
    <row r="38" spans="1:7" ht="30" x14ac:dyDescent="0.25">
      <c r="A38" s="12">
        <v>34</v>
      </c>
      <c r="B38" s="13" t="s">
        <v>83</v>
      </c>
      <c r="C38" s="13" t="s">
        <v>84</v>
      </c>
      <c r="D38" s="14" t="s">
        <v>9</v>
      </c>
      <c r="E38" s="14" t="s">
        <v>27</v>
      </c>
      <c r="F38" s="13" t="s">
        <v>79</v>
      </c>
      <c r="G38" s="26" t="s">
        <v>176</v>
      </c>
    </row>
    <row r="39" spans="1:7" ht="45" x14ac:dyDescent="0.25">
      <c r="A39" s="12">
        <v>35</v>
      </c>
      <c r="B39" s="13" t="s">
        <v>85</v>
      </c>
      <c r="C39" s="13" t="s">
        <v>86</v>
      </c>
      <c r="D39" s="14" t="s">
        <v>15</v>
      </c>
      <c r="E39" s="14" t="s">
        <v>10</v>
      </c>
      <c r="F39" s="13" t="s">
        <v>16</v>
      </c>
      <c r="G39" s="26" t="s">
        <v>181</v>
      </c>
    </row>
    <row r="40" spans="1:7" ht="30" x14ac:dyDescent="0.25">
      <c r="A40" s="12">
        <v>36</v>
      </c>
      <c r="B40" s="13" t="s">
        <v>87</v>
      </c>
      <c r="C40" s="13" t="s">
        <v>88</v>
      </c>
      <c r="D40" s="14" t="s">
        <v>30</v>
      </c>
      <c r="E40" s="14" t="s">
        <v>14</v>
      </c>
      <c r="F40" s="13" t="s">
        <v>55</v>
      </c>
      <c r="G40" s="26" t="s">
        <v>181</v>
      </c>
    </row>
    <row r="41" spans="1:7" ht="30" x14ac:dyDescent="0.25">
      <c r="A41" s="12">
        <v>37</v>
      </c>
      <c r="B41" s="13" t="s">
        <v>89</v>
      </c>
      <c r="C41" s="13" t="s">
        <v>90</v>
      </c>
      <c r="D41" s="14" t="s">
        <v>30</v>
      </c>
      <c r="E41" s="14" t="s">
        <v>14</v>
      </c>
      <c r="F41" s="13" t="s">
        <v>23</v>
      </c>
      <c r="G41" s="26" t="s">
        <v>181</v>
      </c>
    </row>
    <row r="42" spans="1:7" ht="30" x14ac:dyDescent="0.25">
      <c r="A42" s="12">
        <v>38</v>
      </c>
      <c r="B42" s="13" t="s">
        <v>91</v>
      </c>
      <c r="C42" s="13" t="s">
        <v>92</v>
      </c>
      <c r="D42" s="14" t="s">
        <v>30</v>
      </c>
      <c r="E42" s="14" t="s">
        <v>27</v>
      </c>
      <c r="F42" s="13" t="s">
        <v>23</v>
      </c>
      <c r="G42" s="26" t="s">
        <v>181</v>
      </c>
    </row>
    <row r="43" spans="1:7" ht="45" x14ac:dyDescent="0.25">
      <c r="A43" s="12">
        <v>39</v>
      </c>
      <c r="B43" s="13" t="s">
        <v>93</v>
      </c>
      <c r="C43" s="13" t="s">
        <v>135</v>
      </c>
      <c r="D43" s="13" t="s">
        <v>18</v>
      </c>
      <c r="E43" s="13" t="s">
        <v>27</v>
      </c>
      <c r="F43" s="13" t="s">
        <v>11</v>
      </c>
      <c r="G43" s="26" t="s">
        <v>168</v>
      </c>
    </row>
    <row r="44" spans="1:7" ht="45" x14ac:dyDescent="0.25">
      <c r="A44" s="12">
        <v>40</v>
      </c>
      <c r="B44" s="13" t="s">
        <v>94</v>
      </c>
      <c r="C44" s="13" t="s">
        <v>136</v>
      </c>
      <c r="D44" s="13" t="s">
        <v>30</v>
      </c>
      <c r="E44" s="13" t="s">
        <v>14</v>
      </c>
      <c r="F44" s="13" t="s">
        <v>11</v>
      </c>
      <c r="G44" s="26" t="s">
        <v>168</v>
      </c>
    </row>
    <row r="45" spans="1:7" ht="45" x14ac:dyDescent="0.25">
      <c r="A45" s="12">
        <v>41</v>
      </c>
      <c r="B45" s="13" t="s">
        <v>95</v>
      </c>
      <c r="C45" s="13" t="s">
        <v>137</v>
      </c>
      <c r="D45" s="13" t="s">
        <v>13</v>
      </c>
      <c r="E45" s="13" t="s">
        <v>10</v>
      </c>
      <c r="F45" s="13" t="s">
        <v>11</v>
      </c>
      <c r="G45" s="26" t="s">
        <v>168</v>
      </c>
    </row>
    <row r="46" spans="1:7" ht="45" x14ac:dyDescent="0.25">
      <c r="A46" s="12">
        <v>42</v>
      </c>
      <c r="B46" s="13" t="s">
        <v>96</v>
      </c>
      <c r="C46" s="13" t="s">
        <v>138</v>
      </c>
      <c r="D46" s="13" t="s">
        <v>9</v>
      </c>
      <c r="E46" s="13" t="s">
        <v>10</v>
      </c>
      <c r="F46" s="13" t="s">
        <v>23</v>
      </c>
      <c r="G46" s="26" t="s">
        <v>169</v>
      </c>
    </row>
    <row r="47" spans="1:7" ht="45" x14ac:dyDescent="0.25">
      <c r="A47" s="12">
        <v>43</v>
      </c>
      <c r="B47" s="13" t="s">
        <v>97</v>
      </c>
      <c r="C47" s="13" t="s">
        <v>139</v>
      </c>
      <c r="D47" s="13" t="s">
        <v>18</v>
      </c>
      <c r="E47" s="13" t="s">
        <v>27</v>
      </c>
      <c r="F47" s="13" t="s">
        <v>23</v>
      </c>
      <c r="G47" s="26" t="s">
        <v>169</v>
      </c>
    </row>
    <row r="48" spans="1:7" ht="45" x14ac:dyDescent="0.25">
      <c r="A48" s="12">
        <v>44</v>
      </c>
      <c r="B48" s="13" t="s">
        <v>98</v>
      </c>
      <c r="C48" s="13" t="s">
        <v>140</v>
      </c>
      <c r="D48" s="13" t="s">
        <v>9</v>
      </c>
      <c r="E48" s="13" t="s">
        <v>10</v>
      </c>
      <c r="F48" s="13" t="s">
        <v>23</v>
      </c>
      <c r="G48" s="26" t="s">
        <v>169</v>
      </c>
    </row>
    <row r="49" spans="1:7" ht="30" x14ac:dyDescent="0.25">
      <c r="A49" s="12">
        <v>45</v>
      </c>
      <c r="B49" s="13" t="s">
        <v>99</v>
      </c>
      <c r="C49" s="13" t="s">
        <v>141</v>
      </c>
      <c r="D49" s="13" t="s">
        <v>18</v>
      </c>
      <c r="E49" s="13" t="s">
        <v>14</v>
      </c>
      <c r="F49" s="13" t="s">
        <v>16</v>
      </c>
      <c r="G49" s="26" t="s">
        <v>170</v>
      </c>
    </row>
    <row r="50" spans="1:7" ht="30" x14ac:dyDescent="0.25">
      <c r="A50" s="12">
        <v>46</v>
      </c>
      <c r="B50" s="13" t="s">
        <v>100</v>
      </c>
      <c r="C50" s="13" t="s">
        <v>142</v>
      </c>
      <c r="D50" s="13" t="s">
        <v>13</v>
      </c>
      <c r="E50" s="13" t="s">
        <v>10</v>
      </c>
      <c r="F50" s="13" t="s">
        <v>16</v>
      </c>
      <c r="G50" s="26" t="s">
        <v>170</v>
      </c>
    </row>
    <row r="51" spans="1:7" ht="30" x14ac:dyDescent="0.25">
      <c r="A51" s="12">
        <v>47</v>
      </c>
      <c r="B51" s="13" t="s">
        <v>101</v>
      </c>
      <c r="C51" s="13" t="s">
        <v>143</v>
      </c>
      <c r="D51" s="13" t="s">
        <v>9</v>
      </c>
      <c r="E51" s="13" t="s">
        <v>14</v>
      </c>
      <c r="F51" s="13" t="s">
        <v>33</v>
      </c>
      <c r="G51" s="26" t="s">
        <v>170</v>
      </c>
    </row>
    <row r="52" spans="1:7" ht="45" x14ac:dyDescent="0.25">
      <c r="A52" s="12">
        <v>48</v>
      </c>
      <c r="B52" s="13" t="s">
        <v>102</v>
      </c>
      <c r="C52" s="13" t="s">
        <v>144</v>
      </c>
      <c r="D52" s="13" t="s">
        <v>18</v>
      </c>
      <c r="E52" s="13" t="s">
        <v>14</v>
      </c>
      <c r="F52" s="13" t="s">
        <v>101</v>
      </c>
      <c r="G52" s="26" t="s">
        <v>177</v>
      </c>
    </row>
    <row r="53" spans="1:7" ht="30" x14ac:dyDescent="0.25">
      <c r="A53" s="12">
        <v>49</v>
      </c>
      <c r="B53" s="13" t="s">
        <v>103</v>
      </c>
      <c r="C53" s="13" t="s">
        <v>145</v>
      </c>
      <c r="D53" s="13" t="s">
        <v>9</v>
      </c>
      <c r="E53" s="13" t="s">
        <v>10</v>
      </c>
      <c r="F53" s="13" t="s">
        <v>55</v>
      </c>
      <c r="G53" s="26" t="s">
        <v>177</v>
      </c>
    </row>
    <row r="54" spans="1:7" ht="45" x14ac:dyDescent="0.25">
      <c r="A54" s="12">
        <v>50</v>
      </c>
      <c r="B54" s="13" t="s">
        <v>104</v>
      </c>
      <c r="C54" s="13" t="s">
        <v>146</v>
      </c>
      <c r="D54" s="13" t="s">
        <v>18</v>
      </c>
      <c r="E54" s="13" t="s">
        <v>14</v>
      </c>
      <c r="F54" s="13" t="s">
        <v>39</v>
      </c>
      <c r="G54" s="26" t="s">
        <v>171</v>
      </c>
    </row>
    <row r="55" spans="1:7" ht="30" x14ac:dyDescent="0.25">
      <c r="A55" s="12">
        <v>51</v>
      </c>
      <c r="B55" s="13" t="s">
        <v>105</v>
      </c>
      <c r="C55" s="13" t="s">
        <v>147</v>
      </c>
      <c r="D55" s="13" t="s">
        <v>9</v>
      </c>
      <c r="E55" s="13" t="s">
        <v>10</v>
      </c>
      <c r="F55" s="13" t="s">
        <v>55</v>
      </c>
      <c r="G55" s="26" t="s">
        <v>175</v>
      </c>
    </row>
    <row r="56" spans="1:7" ht="30" x14ac:dyDescent="0.25">
      <c r="A56" s="12">
        <v>52</v>
      </c>
      <c r="B56" s="13" t="s">
        <v>107</v>
      </c>
      <c r="C56" s="13" t="s">
        <v>148</v>
      </c>
      <c r="D56" s="13" t="s">
        <v>18</v>
      </c>
      <c r="E56" s="13" t="s">
        <v>27</v>
      </c>
      <c r="F56" s="13" t="s">
        <v>105</v>
      </c>
      <c r="G56" s="26" t="s">
        <v>175</v>
      </c>
    </row>
    <row r="57" spans="1:7" ht="45" x14ac:dyDescent="0.25">
      <c r="A57" s="12">
        <v>53</v>
      </c>
      <c r="B57" s="13" t="s">
        <v>106</v>
      </c>
      <c r="C57" s="13" t="s">
        <v>149</v>
      </c>
      <c r="D57" s="13" t="s">
        <v>13</v>
      </c>
      <c r="E57" s="13" t="s">
        <v>10</v>
      </c>
      <c r="F57" s="13" t="s">
        <v>55</v>
      </c>
      <c r="G57" s="26" t="s">
        <v>175</v>
      </c>
    </row>
    <row r="58" spans="1:7" ht="30" x14ac:dyDescent="0.25">
      <c r="A58" s="12">
        <v>54</v>
      </c>
      <c r="B58" s="13" t="s">
        <v>108</v>
      </c>
      <c r="C58" s="13" t="s">
        <v>150</v>
      </c>
      <c r="D58" s="13" t="s">
        <v>9</v>
      </c>
      <c r="E58" s="13" t="s">
        <v>10</v>
      </c>
      <c r="F58" s="13" t="s">
        <v>62</v>
      </c>
      <c r="G58" s="26" t="s">
        <v>172</v>
      </c>
    </row>
    <row r="59" spans="1:7" ht="30" x14ac:dyDescent="0.25">
      <c r="A59" s="12">
        <v>55</v>
      </c>
      <c r="B59" s="13" t="s">
        <v>109</v>
      </c>
      <c r="C59" s="13" t="s">
        <v>151</v>
      </c>
      <c r="D59" s="13" t="s">
        <v>13</v>
      </c>
      <c r="E59" s="13" t="s">
        <v>10</v>
      </c>
      <c r="F59" s="13" t="s">
        <v>62</v>
      </c>
      <c r="G59" s="26" t="s">
        <v>173</v>
      </c>
    </row>
    <row r="60" spans="1:7" ht="30" x14ac:dyDescent="0.25">
      <c r="A60" s="12">
        <v>56</v>
      </c>
      <c r="B60" s="13" t="s">
        <v>110</v>
      </c>
      <c r="C60" s="13" t="s">
        <v>152</v>
      </c>
      <c r="D60" s="13" t="s">
        <v>30</v>
      </c>
      <c r="E60" s="13" t="s">
        <v>10</v>
      </c>
      <c r="F60" s="13" t="s">
        <v>62</v>
      </c>
      <c r="G60" s="26" t="s">
        <v>172</v>
      </c>
    </row>
    <row r="61" spans="1:7" ht="30" x14ac:dyDescent="0.25">
      <c r="A61" s="12">
        <v>57</v>
      </c>
      <c r="B61" s="13" t="s">
        <v>111</v>
      </c>
      <c r="C61" s="13" t="s">
        <v>153</v>
      </c>
      <c r="D61" s="13" t="s">
        <v>9</v>
      </c>
      <c r="E61" s="13" t="s">
        <v>10</v>
      </c>
      <c r="F61" s="13" t="s">
        <v>62</v>
      </c>
      <c r="G61" s="26" t="s">
        <v>172</v>
      </c>
    </row>
    <row r="62" spans="1:7" ht="30" x14ac:dyDescent="0.25">
      <c r="A62" s="12">
        <v>58</v>
      </c>
      <c r="B62" s="13" t="s">
        <v>112</v>
      </c>
      <c r="C62" s="13" t="s">
        <v>154</v>
      </c>
      <c r="D62" s="13" t="s">
        <v>9</v>
      </c>
      <c r="E62" s="13" t="s">
        <v>10</v>
      </c>
      <c r="F62" s="13" t="s">
        <v>58</v>
      </c>
      <c r="G62" s="26" t="s">
        <v>172</v>
      </c>
    </row>
    <row r="63" spans="1:7" ht="30" x14ac:dyDescent="0.25">
      <c r="A63" s="12">
        <v>59</v>
      </c>
      <c r="B63" s="13" t="s">
        <v>113</v>
      </c>
      <c r="C63" s="13" t="s">
        <v>155</v>
      </c>
      <c r="D63" s="13" t="s">
        <v>18</v>
      </c>
      <c r="E63" s="13" t="s">
        <v>10</v>
      </c>
      <c r="F63" s="13" t="s">
        <v>112</v>
      </c>
      <c r="G63" s="26" t="s">
        <v>172</v>
      </c>
    </row>
    <row r="64" spans="1:7" ht="30" x14ac:dyDescent="0.25">
      <c r="A64" s="12">
        <v>60</v>
      </c>
      <c r="B64" s="13" t="s">
        <v>114</v>
      </c>
      <c r="C64" s="13" t="s">
        <v>156</v>
      </c>
      <c r="D64" s="13" t="s">
        <v>18</v>
      </c>
      <c r="E64" s="13" t="s">
        <v>14</v>
      </c>
      <c r="F64" s="13" t="s">
        <v>73</v>
      </c>
      <c r="G64" s="26" t="s">
        <v>174</v>
      </c>
    </row>
    <row r="65" spans="1:7" ht="45" x14ac:dyDescent="0.25">
      <c r="A65" s="12">
        <v>61</v>
      </c>
      <c r="B65" s="13" t="s">
        <v>115</v>
      </c>
      <c r="C65" s="13" t="s">
        <v>157</v>
      </c>
      <c r="D65" s="13" t="s">
        <v>13</v>
      </c>
      <c r="E65" s="13" t="s">
        <v>10</v>
      </c>
      <c r="F65" s="13" t="s">
        <v>55</v>
      </c>
      <c r="G65" s="26" t="s">
        <v>174</v>
      </c>
    </row>
    <row r="66" spans="1:7" ht="30" x14ac:dyDescent="0.25">
      <c r="A66" s="12">
        <v>62</v>
      </c>
      <c r="B66" s="13" t="s">
        <v>116</v>
      </c>
      <c r="C66" s="13" t="s">
        <v>158</v>
      </c>
      <c r="D66" s="13" t="s">
        <v>18</v>
      </c>
      <c r="E66" s="13" t="s">
        <v>14</v>
      </c>
      <c r="F66" s="13" t="s">
        <v>45</v>
      </c>
      <c r="G66" s="26" t="s">
        <v>178</v>
      </c>
    </row>
    <row r="67" spans="1:7" ht="30" x14ac:dyDescent="0.25">
      <c r="A67" s="12">
        <v>63</v>
      </c>
      <c r="B67" s="13" t="s">
        <v>117</v>
      </c>
      <c r="C67" s="13" t="s">
        <v>159</v>
      </c>
      <c r="D67" s="13" t="s">
        <v>13</v>
      </c>
      <c r="E67" s="13" t="s">
        <v>10</v>
      </c>
      <c r="F67" s="13" t="s">
        <v>45</v>
      </c>
      <c r="G67" s="26" t="s">
        <v>178</v>
      </c>
    </row>
    <row r="68" spans="1:7" ht="30" x14ac:dyDescent="0.25">
      <c r="A68" s="12">
        <v>64</v>
      </c>
      <c r="B68" s="13" t="s">
        <v>118</v>
      </c>
      <c r="C68" s="13" t="s">
        <v>160</v>
      </c>
      <c r="D68" s="13" t="s">
        <v>9</v>
      </c>
      <c r="E68" s="13" t="s">
        <v>14</v>
      </c>
      <c r="F68" s="13" t="s">
        <v>79</v>
      </c>
      <c r="G68" s="26" t="s">
        <v>176</v>
      </c>
    </row>
    <row r="69" spans="1:7" ht="30" x14ac:dyDescent="0.25">
      <c r="A69" s="12">
        <v>65</v>
      </c>
      <c r="B69" s="13" t="s">
        <v>119</v>
      </c>
      <c r="C69" s="13" t="s">
        <v>161</v>
      </c>
      <c r="D69" s="13" t="s">
        <v>120</v>
      </c>
      <c r="E69" s="13" t="s">
        <v>10</v>
      </c>
      <c r="F69" s="13" t="s">
        <v>23</v>
      </c>
      <c r="G69" s="26" t="s">
        <v>176</v>
      </c>
    </row>
    <row r="70" spans="1:7" ht="30" x14ac:dyDescent="0.25">
      <c r="A70" s="12">
        <v>66</v>
      </c>
      <c r="B70" s="13" t="s">
        <v>121</v>
      </c>
      <c r="C70" s="13" t="s">
        <v>162</v>
      </c>
      <c r="D70" s="13" t="s">
        <v>9</v>
      </c>
      <c r="E70" s="13" t="s">
        <v>10</v>
      </c>
      <c r="F70" s="13" t="s">
        <v>23</v>
      </c>
      <c r="G70" s="26" t="s">
        <v>179</v>
      </c>
    </row>
    <row r="71" spans="1:7" ht="45" x14ac:dyDescent="0.25">
      <c r="A71" s="12">
        <v>67</v>
      </c>
      <c r="B71" s="13" t="s">
        <v>122</v>
      </c>
      <c r="C71" s="13" t="s">
        <v>163</v>
      </c>
      <c r="D71" s="13" t="s">
        <v>30</v>
      </c>
      <c r="E71" s="13" t="s">
        <v>10</v>
      </c>
      <c r="F71" s="13" t="s">
        <v>121</v>
      </c>
      <c r="G71" s="26" t="s">
        <v>179</v>
      </c>
    </row>
    <row r="72" spans="1:7" ht="45" x14ac:dyDescent="0.25">
      <c r="A72" s="12">
        <v>68</v>
      </c>
      <c r="B72" s="13" t="s">
        <v>123</v>
      </c>
      <c r="C72" s="13" t="s">
        <v>164</v>
      </c>
      <c r="D72" s="13" t="s">
        <v>9</v>
      </c>
      <c r="E72" s="13" t="s">
        <v>10</v>
      </c>
      <c r="F72" s="13" t="s">
        <v>121</v>
      </c>
      <c r="G72" s="26" t="s">
        <v>180</v>
      </c>
    </row>
    <row r="73" spans="1:7" ht="30" x14ac:dyDescent="0.25">
      <c r="A73" s="12">
        <v>69</v>
      </c>
      <c r="B73" s="13" t="s">
        <v>124</v>
      </c>
      <c r="C73" s="13" t="s">
        <v>165</v>
      </c>
      <c r="D73" s="13" t="s">
        <v>30</v>
      </c>
      <c r="E73" s="13" t="s">
        <v>27</v>
      </c>
      <c r="F73" s="13" t="s">
        <v>121</v>
      </c>
      <c r="G73" s="26" t="s">
        <v>179</v>
      </c>
    </row>
    <row r="74" spans="1:7" ht="30" x14ac:dyDescent="0.25">
      <c r="A74" s="12">
        <v>70</v>
      </c>
      <c r="B74" s="13" t="s">
        <v>125</v>
      </c>
      <c r="C74" s="13" t="s">
        <v>130</v>
      </c>
      <c r="D74" s="13" t="s">
        <v>15</v>
      </c>
      <c r="E74" s="13" t="s">
        <v>14</v>
      </c>
      <c r="F74" s="13" t="s">
        <v>121</v>
      </c>
      <c r="G74" s="26" t="s">
        <v>181</v>
      </c>
    </row>
    <row r="75" spans="1:7" ht="30" x14ac:dyDescent="0.25">
      <c r="A75" s="12">
        <v>71</v>
      </c>
      <c r="B75" s="13" t="s">
        <v>126</v>
      </c>
      <c r="C75" s="13" t="s">
        <v>131</v>
      </c>
      <c r="D75" s="13" t="s">
        <v>15</v>
      </c>
      <c r="E75" s="13" t="s">
        <v>14</v>
      </c>
      <c r="F75" s="13" t="s">
        <v>125</v>
      </c>
      <c r="G75" s="26" t="s">
        <v>181</v>
      </c>
    </row>
    <row r="76" spans="1:7" ht="30" x14ac:dyDescent="0.25">
      <c r="A76" s="12">
        <v>72</v>
      </c>
      <c r="B76" s="13" t="s">
        <v>127</v>
      </c>
      <c r="C76" s="13" t="s">
        <v>132</v>
      </c>
      <c r="D76" s="13" t="s">
        <v>30</v>
      </c>
      <c r="E76" s="13" t="s">
        <v>14</v>
      </c>
      <c r="F76" s="13" t="s">
        <v>126</v>
      </c>
      <c r="G76" s="26" t="s">
        <v>181</v>
      </c>
    </row>
    <row r="77" spans="1:7" ht="30" x14ac:dyDescent="0.25">
      <c r="A77" s="12">
        <v>73</v>
      </c>
      <c r="B77" s="13" t="s">
        <v>128</v>
      </c>
      <c r="C77" s="13" t="s">
        <v>133</v>
      </c>
      <c r="D77" s="13" t="s">
        <v>30</v>
      </c>
      <c r="E77" s="13" t="s">
        <v>14</v>
      </c>
      <c r="F77" s="13" t="s">
        <v>125</v>
      </c>
      <c r="G77" s="26" t="s">
        <v>181</v>
      </c>
    </row>
    <row r="78" spans="1:7" x14ac:dyDescent="0.25">
      <c r="A78" s="12">
        <v>74</v>
      </c>
      <c r="B78" s="22"/>
      <c r="C78" s="23"/>
      <c r="D78" s="24"/>
      <c r="E78" s="24"/>
      <c r="F78" s="23"/>
      <c r="G78" s="26"/>
    </row>
    <row r="79" spans="1:7" x14ac:dyDescent="0.25">
      <c r="A79" s="12">
        <v>75</v>
      </c>
      <c r="B79" s="15"/>
      <c r="C79" s="13"/>
      <c r="D79" s="14"/>
      <c r="E79" s="16"/>
      <c r="F79" s="15"/>
      <c r="G79" s="26"/>
    </row>
    <row r="80" spans="1:7" x14ac:dyDescent="0.25">
      <c r="A80" s="12">
        <v>76</v>
      </c>
      <c r="B80" s="15"/>
      <c r="C80" s="13"/>
      <c r="D80" s="14"/>
      <c r="E80" s="16"/>
      <c r="F80" s="15"/>
      <c r="G80" s="26"/>
    </row>
    <row r="81" spans="1:7" x14ac:dyDescent="0.25">
      <c r="A81" s="12">
        <v>77</v>
      </c>
      <c r="B81" s="15"/>
      <c r="C81" s="13"/>
      <c r="D81" s="14"/>
      <c r="E81" s="16"/>
      <c r="F81" s="15"/>
      <c r="G81" s="26"/>
    </row>
    <row r="82" spans="1:7" x14ac:dyDescent="0.25">
      <c r="A82" s="12">
        <v>78</v>
      </c>
      <c r="B82" s="15"/>
      <c r="C82" s="13"/>
      <c r="D82" s="14"/>
      <c r="E82" s="16"/>
      <c r="F82" s="15"/>
      <c r="G82" s="26"/>
    </row>
    <row r="83" spans="1:7" x14ac:dyDescent="0.25">
      <c r="A83" s="12">
        <v>79</v>
      </c>
      <c r="B83" s="15"/>
      <c r="C83" s="13"/>
      <c r="D83" s="14"/>
      <c r="E83" s="16"/>
      <c r="F83" s="15"/>
      <c r="G83" s="26"/>
    </row>
    <row r="84" spans="1:7" x14ac:dyDescent="0.25">
      <c r="A84" s="12">
        <v>80</v>
      </c>
      <c r="B84" s="15"/>
      <c r="C84" s="13"/>
      <c r="D84" s="14"/>
      <c r="E84" s="16"/>
      <c r="F84" s="15"/>
      <c r="G84" s="26"/>
    </row>
    <row r="85" spans="1:7" x14ac:dyDescent="0.25">
      <c r="A85" s="12">
        <v>81</v>
      </c>
      <c r="B85" s="15"/>
      <c r="C85" s="13"/>
      <c r="D85" s="14"/>
      <c r="E85" s="16"/>
      <c r="F85" s="15"/>
      <c r="G85" s="26"/>
    </row>
    <row r="86" spans="1:7" x14ac:dyDescent="0.25">
      <c r="A86" s="12">
        <v>82</v>
      </c>
      <c r="B86" s="15"/>
      <c r="C86" s="13"/>
      <c r="D86" s="14"/>
      <c r="E86" s="16"/>
      <c r="F86" s="15"/>
      <c r="G86" s="26"/>
    </row>
    <row r="87" spans="1:7" x14ac:dyDescent="0.25">
      <c r="A87" s="12">
        <v>83</v>
      </c>
      <c r="B87" s="15"/>
      <c r="C87" s="13"/>
      <c r="D87" s="14"/>
      <c r="E87" s="16"/>
      <c r="F87" s="15"/>
      <c r="G87" s="26"/>
    </row>
    <row r="88" spans="1:7" x14ac:dyDescent="0.25">
      <c r="A88" s="12">
        <v>84</v>
      </c>
      <c r="B88" s="15"/>
      <c r="C88" s="13"/>
      <c r="D88" s="14"/>
      <c r="E88" s="16"/>
      <c r="F88" s="15"/>
      <c r="G88" s="26"/>
    </row>
    <row r="89" spans="1:7" x14ac:dyDescent="0.25">
      <c r="A89" s="12">
        <v>85</v>
      </c>
      <c r="B89" s="15"/>
      <c r="C89" s="13"/>
      <c r="D89" s="14"/>
      <c r="E89" s="16"/>
      <c r="F89" s="15"/>
      <c r="G89" s="26"/>
    </row>
    <row r="90" spans="1:7" x14ac:dyDescent="0.25">
      <c r="A90" s="12">
        <v>86</v>
      </c>
      <c r="B90" s="15"/>
      <c r="C90" s="13"/>
      <c r="D90" s="14"/>
      <c r="E90" s="16"/>
      <c r="F90" s="15"/>
      <c r="G90" s="26"/>
    </row>
    <row r="91" spans="1:7" x14ac:dyDescent="0.25">
      <c r="A91" s="12">
        <v>87</v>
      </c>
      <c r="B91" s="15"/>
      <c r="C91" s="13"/>
      <c r="D91" s="14"/>
      <c r="E91" s="16"/>
      <c r="F91" s="15"/>
      <c r="G91" s="26"/>
    </row>
    <row r="92" spans="1:7" x14ac:dyDescent="0.25">
      <c r="A92" s="12">
        <v>88</v>
      </c>
      <c r="B92" s="15"/>
      <c r="C92" s="13"/>
      <c r="D92" s="14"/>
      <c r="E92" s="16"/>
      <c r="F92" s="15"/>
      <c r="G92" s="26"/>
    </row>
    <row r="93" spans="1:7" x14ac:dyDescent="0.25">
      <c r="A93" s="12">
        <v>89</v>
      </c>
      <c r="B93" s="15"/>
      <c r="C93" s="13"/>
      <c r="D93" s="14"/>
      <c r="E93" s="16"/>
      <c r="F93" s="15"/>
      <c r="G93" s="26"/>
    </row>
    <row r="94" spans="1:7" x14ac:dyDescent="0.25">
      <c r="A94" s="12">
        <v>90</v>
      </c>
      <c r="B94" s="15"/>
      <c r="C94" s="13"/>
      <c r="D94" s="14"/>
      <c r="E94" s="16"/>
      <c r="F94" s="15"/>
      <c r="G94" s="26"/>
    </row>
    <row r="95" spans="1:7" x14ac:dyDescent="0.25">
      <c r="A95" s="12">
        <v>91</v>
      </c>
      <c r="B95" s="15"/>
      <c r="C95" s="13"/>
      <c r="D95" s="14"/>
      <c r="E95" s="16"/>
      <c r="F95" s="15"/>
      <c r="G95" s="26"/>
    </row>
    <row r="96" spans="1:7" x14ac:dyDescent="0.25">
      <c r="A96" s="12">
        <v>92</v>
      </c>
      <c r="B96" s="15"/>
      <c r="C96" s="13"/>
      <c r="D96" s="14"/>
      <c r="E96" s="16"/>
      <c r="F96" s="15"/>
      <c r="G96" s="26"/>
    </row>
    <row r="97" spans="1:7" x14ac:dyDescent="0.25">
      <c r="A97" s="12">
        <v>93</v>
      </c>
      <c r="B97" s="15"/>
      <c r="C97" s="13"/>
      <c r="D97" s="14"/>
      <c r="E97" s="16"/>
      <c r="F97" s="15"/>
      <c r="G97" s="26"/>
    </row>
    <row r="98" spans="1:7" x14ac:dyDescent="0.25">
      <c r="A98" s="12">
        <v>94</v>
      </c>
      <c r="B98" s="15"/>
      <c r="C98" s="13"/>
      <c r="D98" s="14"/>
      <c r="E98" s="16"/>
      <c r="F98" s="15"/>
      <c r="G98" s="26"/>
    </row>
    <row r="99" spans="1:7" x14ac:dyDescent="0.25">
      <c r="A99" s="12">
        <v>95</v>
      </c>
      <c r="B99" s="15"/>
      <c r="C99" s="13"/>
      <c r="D99" s="14"/>
      <c r="E99" s="16"/>
      <c r="F99" s="15"/>
      <c r="G99" s="26"/>
    </row>
    <row r="100" spans="1:7" x14ac:dyDescent="0.25">
      <c r="A100" s="12">
        <v>96</v>
      </c>
      <c r="B100" s="15"/>
      <c r="C100" s="13"/>
      <c r="D100" s="14"/>
      <c r="E100" s="16"/>
      <c r="F100" s="15"/>
      <c r="G100" s="26"/>
    </row>
    <row r="101" spans="1:7" x14ac:dyDescent="0.25">
      <c r="A101" s="12">
        <v>97</v>
      </c>
      <c r="B101" s="15"/>
      <c r="C101" s="13"/>
      <c r="D101" s="14"/>
      <c r="E101" s="16"/>
      <c r="F101" s="15"/>
      <c r="G101" s="26"/>
    </row>
    <row r="102" spans="1:7" x14ac:dyDescent="0.25">
      <c r="A102" s="12">
        <v>98</v>
      </c>
      <c r="B102" s="15"/>
      <c r="C102" s="13"/>
      <c r="D102" s="14"/>
      <c r="E102" s="16"/>
      <c r="F102" s="15"/>
      <c r="G102" s="26"/>
    </row>
    <row r="103" spans="1:7" x14ac:dyDescent="0.25">
      <c r="A103" s="12">
        <v>99</v>
      </c>
      <c r="B103" s="15"/>
      <c r="C103" s="13"/>
      <c r="D103" s="14"/>
      <c r="E103" s="16"/>
      <c r="F103" s="15"/>
      <c r="G103" s="26"/>
    </row>
    <row r="104" spans="1:7" x14ac:dyDescent="0.25">
      <c r="A104" s="12">
        <v>100</v>
      </c>
      <c r="B104" s="15"/>
      <c r="C104" s="13"/>
      <c r="D104" s="14"/>
      <c r="E104" s="16"/>
      <c r="F104" s="15"/>
      <c r="G104" s="26"/>
    </row>
    <row r="105" spans="1:7" x14ac:dyDescent="0.25">
      <c r="A105" s="12">
        <v>101</v>
      </c>
      <c r="B105" s="15"/>
      <c r="C105" s="13"/>
      <c r="D105" s="14"/>
      <c r="E105" s="16"/>
      <c r="F105" s="15"/>
      <c r="G105" s="26"/>
    </row>
    <row r="106" spans="1:7" x14ac:dyDescent="0.25">
      <c r="A106" s="12">
        <v>102</v>
      </c>
      <c r="B106" s="15"/>
      <c r="C106" s="13"/>
      <c r="D106" s="14"/>
      <c r="E106" s="16"/>
      <c r="F106" s="15"/>
      <c r="G106" s="26"/>
    </row>
    <row r="107" spans="1:7" x14ac:dyDescent="0.25">
      <c r="A107" s="12">
        <v>103</v>
      </c>
      <c r="B107" s="15"/>
      <c r="C107" s="13"/>
      <c r="D107" s="14"/>
      <c r="E107" s="16"/>
      <c r="F107" s="15"/>
      <c r="G107" s="26"/>
    </row>
    <row r="108" spans="1:7" x14ac:dyDescent="0.25">
      <c r="A108" s="12">
        <v>104</v>
      </c>
      <c r="B108" s="15"/>
      <c r="C108" s="13"/>
      <c r="D108" s="14"/>
      <c r="E108" s="16"/>
      <c r="F108" s="15"/>
      <c r="G108" s="26"/>
    </row>
    <row r="109" spans="1:7" x14ac:dyDescent="0.25">
      <c r="A109" s="12">
        <v>105</v>
      </c>
      <c r="B109" s="15"/>
      <c r="C109" s="13"/>
      <c r="D109" s="14"/>
      <c r="E109" s="16"/>
      <c r="F109" s="15"/>
      <c r="G109" s="26"/>
    </row>
    <row r="110" spans="1:7" x14ac:dyDescent="0.25">
      <c r="A110" s="12">
        <v>106</v>
      </c>
      <c r="B110" s="15"/>
      <c r="C110" s="13"/>
      <c r="D110" s="14"/>
      <c r="E110" s="16"/>
      <c r="F110" s="15"/>
      <c r="G110" s="26"/>
    </row>
    <row r="111" spans="1:7" x14ac:dyDescent="0.25">
      <c r="A111" s="12">
        <v>107</v>
      </c>
      <c r="B111" s="15"/>
      <c r="C111" s="13"/>
      <c r="D111" s="14"/>
      <c r="E111" s="16"/>
      <c r="F111" s="15"/>
      <c r="G111" s="26"/>
    </row>
    <row r="112" spans="1:7" x14ac:dyDescent="0.25">
      <c r="A112" s="12">
        <v>108</v>
      </c>
      <c r="B112" s="15"/>
      <c r="C112" s="13"/>
      <c r="D112" s="14"/>
      <c r="E112" s="16"/>
      <c r="F112" s="15"/>
      <c r="G112" s="26"/>
    </row>
    <row r="113" spans="1:7" x14ac:dyDescent="0.25">
      <c r="A113" s="12">
        <v>109</v>
      </c>
      <c r="B113" s="15"/>
      <c r="C113" s="13"/>
      <c r="D113" s="14"/>
      <c r="E113" s="16"/>
      <c r="F113" s="15"/>
      <c r="G113" s="26"/>
    </row>
    <row r="114" spans="1:7" x14ac:dyDescent="0.25">
      <c r="A114" s="12">
        <v>110</v>
      </c>
      <c r="B114" s="15"/>
      <c r="C114" s="13"/>
      <c r="D114" s="14"/>
      <c r="E114" s="16"/>
      <c r="F114" s="15"/>
      <c r="G114" s="26"/>
    </row>
    <row r="115" spans="1:7" x14ac:dyDescent="0.25">
      <c r="A115" s="12">
        <v>111</v>
      </c>
      <c r="B115" s="15"/>
      <c r="C115" s="13"/>
      <c r="D115" s="14"/>
      <c r="E115" s="16"/>
      <c r="F115" s="15"/>
      <c r="G115" s="26"/>
    </row>
    <row r="116" spans="1:7" x14ac:dyDescent="0.25">
      <c r="A116" s="12">
        <v>112</v>
      </c>
      <c r="B116" s="15"/>
      <c r="C116" s="13"/>
      <c r="D116" s="14"/>
      <c r="E116" s="16"/>
      <c r="F116" s="15"/>
      <c r="G116" s="26"/>
    </row>
    <row r="117" spans="1:7" x14ac:dyDescent="0.25">
      <c r="A117" s="12">
        <v>113</v>
      </c>
      <c r="B117" s="15"/>
      <c r="C117" s="13"/>
      <c r="D117" s="14"/>
      <c r="E117" s="16"/>
      <c r="F117" s="15"/>
      <c r="G117" s="26"/>
    </row>
    <row r="118" spans="1:7" x14ac:dyDescent="0.25">
      <c r="A118" s="12">
        <v>114</v>
      </c>
      <c r="B118" s="15"/>
      <c r="C118" s="13"/>
      <c r="D118" s="14"/>
      <c r="E118" s="16"/>
      <c r="F118" s="15"/>
      <c r="G118" s="26"/>
    </row>
    <row r="119" spans="1:7" x14ac:dyDescent="0.25">
      <c r="A119" s="12">
        <v>115</v>
      </c>
      <c r="B119" s="15"/>
      <c r="C119" s="13"/>
      <c r="D119" s="14"/>
      <c r="E119" s="16"/>
      <c r="F119" s="15"/>
      <c r="G119" s="26"/>
    </row>
    <row r="120" spans="1:7" x14ac:dyDescent="0.25">
      <c r="A120" s="12">
        <v>116</v>
      </c>
      <c r="B120" s="15"/>
      <c r="C120" s="13"/>
      <c r="D120" s="14"/>
      <c r="E120" s="16"/>
      <c r="F120" s="15"/>
      <c r="G120" s="26"/>
    </row>
    <row r="121" spans="1:7" x14ac:dyDescent="0.25">
      <c r="A121" s="12">
        <v>117</v>
      </c>
      <c r="B121" s="15"/>
      <c r="C121" s="13"/>
      <c r="D121" s="14"/>
      <c r="E121" s="16"/>
      <c r="F121" s="15"/>
      <c r="G121" s="26"/>
    </row>
    <row r="122" spans="1:7" x14ac:dyDescent="0.25">
      <c r="A122" s="12">
        <v>118</v>
      </c>
      <c r="B122" s="15"/>
      <c r="C122" s="13"/>
      <c r="D122" s="14"/>
      <c r="E122" s="16"/>
      <c r="F122" s="15"/>
      <c r="G122" s="26"/>
    </row>
    <row r="123" spans="1:7" x14ac:dyDescent="0.25">
      <c r="A123" s="12">
        <v>119</v>
      </c>
      <c r="B123" s="15"/>
      <c r="C123" s="13"/>
      <c r="D123" s="14"/>
      <c r="E123" s="16"/>
      <c r="F123" s="15"/>
      <c r="G123" s="26"/>
    </row>
    <row r="124" spans="1:7" x14ac:dyDescent="0.25">
      <c r="A124" s="12">
        <v>120</v>
      </c>
      <c r="B124" s="15"/>
      <c r="C124" s="13"/>
      <c r="D124" s="14"/>
      <c r="E124" s="16"/>
      <c r="F124" s="15"/>
      <c r="G124" s="26"/>
    </row>
    <row r="125" spans="1:7" x14ac:dyDescent="0.25">
      <c r="A125" s="12">
        <v>121</v>
      </c>
      <c r="B125" s="15"/>
      <c r="C125" s="13"/>
      <c r="D125" s="14"/>
      <c r="E125" s="16"/>
      <c r="F125" s="15"/>
      <c r="G125" s="26"/>
    </row>
    <row r="126" spans="1:7" x14ac:dyDescent="0.25">
      <c r="A126" s="12">
        <v>122</v>
      </c>
      <c r="B126" s="15"/>
      <c r="C126" s="13"/>
      <c r="D126" s="14"/>
      <c r="E126" s="16"/>
      <c r="F126" s="15"/>
      <c r="G126" s="26"/>
    </row>
    <row r="127" spans="1:7" x14ac:dyDescent="0.25">
      <c r="A127" s="12">
        <v>123</v>
      </c>
      <c r="B127" s="15"/>
      <c r="C127" s="13"/>
      <c r="D127" s="14"/>
      <c r="E127" s="16"/>
      <c r="F127" s="15"/>
      <c r="G127" s="26"/>
    </row>
    <row r="128" spans="1:7" x14ac:dyDescent="0.25">
      <c r="A128" s="12">
        <v>124</v>
      </c>
      <c r="B128" s="15"/>
      <c r="C128" s="13"/>
      <c r="D128" s="14"/>
      <c r="E128" s="16"/>
      <c r="F128" s="15"/>
      <c r="G128" s="26"/>
    </row>
    <row r="129" spans="1:7" x14ac:dyDescent="0.25">
      <c r="A129" s="12">
        <v>125</v>
      </c>
      <c r="B129" s="15"/>
      <c r="C129" s="13"/>
      <c r="D129" s="14"/>
      <c r="E129" s="16"/>
      <c r="F129" s="15"/>
      <c r="G129" s="26"/>
    </row>
    <row r="130" spans="1:7" x14ac:dyDescent="0.25">
      <c r="A130" s="12">
        <v>126</v>
      </c>
      <c r="B130" s="15"/>
      <c r="C130" s="13"/>
      <c r="D130" s="14"/>
      <c r="E130" s="16"/>
      <c r="F130" s="15"/>
      <c r="G130" s="26"/>
    </row>
    <row r="131" spans="1:7" x14ac:dyDescent="0.25">
      <c r="A131" s="12">
        <v>127</v>
      </c>
      <c r="B131" s="15"/>
      <c r="C131" s="13"/>
      <c r="D131" s="14"/>
      <c r="E131" s="16"/>
      <c r="F131" s="15"/>
      <c r="G131" s="26"/>
    </row>
    <row r="132" spans="1:7" x14ac:dyDescent="0.25">
      <c r="A132" s="12">
        <v>128</v>
      </c>
      <c r="B132" s="15"/>
      <c r="C132" s="13"/>
      <c r="D132" s="14"/>
      <c r="E132" s="16"/>
      <c r="F132" s="15"/>
      <c r="G132" s="26"/>
    </row>
    <row r="133" spans="1:7" x14ac:dyDescent="0.25">
      <c r="A133" s="12">
        <v>129</v>
      </c>
      <c r="B133" s="15"/>
      <c r="C133" s="13"/>
      <c r="D133" s="14"/>
      <c r="E133" s="16"/>
      <c r="F133" s="15"/>
      <c r="G133" s="26"/>
    </row>
    <row r="134" spans="1:7" x14ac:dyDescent="0.25">
      <c r="A134" s="12">
        <v>130</v>
      </c>
      <c r="B134" s="15"/>
      <c r="C134" s="13"/>
      <c r="D134" s="14"/>
      <c r="E134" s="16"/>
      <c r="F134" s="15"/>
      <c r="G134" s="26"/>
    </row>
    <row r="135" spans="1:7" x14ac:dyDescent="0.25">
      <c r="A135" s="12">
        <v>131</v>
      </c>
      <c r="B135" s="15"/>
      <c r="C135" s="13"/>
      <c r="D135" s="14"/>
      <c r="E135" s="16"/>
      <c r="F135" s="15"/>
      <c r="G135" s="26"/>
    </row>
    <row r="136" spans="1:7" x14ac:dyDescent="0.25">
      <c r="A136" s="12">
        <v>132</v>
      </c>
      <c r="B136" s="15"/>
      <c r="C136" s="13"/>
      <c r="D136" s="14"/>
      <c r="E136" s="16"/>
      <c r="F136" s="15"/>
      <c r="G136" s="26"/>
    </row>
    <row r="137" spans="1:7" x14ac:dyDescent="0.25">
      <c r="A137" s="12">
        <v>133</v>
      </c>
      <c r="B137" s="15"/>
      <c r="C137" s="13"/>
      <c r="D137" s="14"/>
      <c r="E137" s="16"/>
      <c r="F137" s="15"/>
      <c r="G137" s="26"/>
    </row>
    <row r="138" spans="1:7" x14ac:dyDescent="0.25">
      <c r="A138" s="12">
        <v>134</v>
      </c>
      <c r="B138" s="15"/>
      <c r="C138" s="13"/>
      <c r="D138" s="14"/>
      <c r="E138" s="16"/>
      <c r="F138" s="15"/>
      <c r="G138" s="26"/>
    </row>
    <row r="139" spans="1:7" x14ac:dyDescent="0.25">
      <c r="A139" s="12">
        <v>135</v>
      </c>
      <c r="B139" s="15"/>
      <c r="C139" s="13"/>
      <c r="D139" s="14"/>
      <c r="E139" s="16"/>
      <c r="F139" s="15"/>
      <c r="G139" s="26"/>
    </row>
    <row r="140" spans="1:7" x14ac:dyDescent="0.25">
      <c r="A140" s="12">
        <v>136</v>
      </c>
      <c r="B140" s="15"/>
      <c r="C140" s="13"/>
      <c r="D140" s="14"/>
      <c r="E140" s="16"/>
      <c r="F140" s="15"/>
      <c r="G140" s="26"/>
    </row>
    <row r="141" spans="1:7" x14ac:dyDescent="0.25">
      <c r="A141" s="12">
        <v>137</v>
      </c>
      <c r="B141" s="15"/>
      <c r="C141" s="13"/>
      <c r="D141" s="14"/>
      <c r="E141" s="16"/>
      <c r="F141" s="15"/>
      <c r="G141" s="26"/>
    </row>
    <row r="142" spans="1:7" x14ac:dyDescent="0.25">
      <c r="A142" s="12">
        <v>138</v>
      </c>
      <c r="B142" s="15"/>
      <c r="C142" s="13"/>
      <c r="D142" s="14"/>
      <c r="E142" s="16"/>
      <c r="F142" s="15"/>
      <c r="G142" s="26"/>
    </row>
    <row r="143" spans="1:7" x14ac:dyDescent="0.25">
      <c r="A143" s="12">
        <v>139</v>
      </c>
      <c r="B143" s="15"/>
      <c r="C143" s="13"/>
      <c r="D143" s="14"/>
      <c r="E143" s="16"/>
      <c r="F143" s="15"/>
      <c r="G143" s="26"/>
    </row>
    <row r="144" spans="1:7" x14ac:dyDescent="0.25">
      <c r="A144" s="12">
        <v>140</v>
      </c>
      <c r="B144" s="15"/>
      <c r="C144" s="13"/>
      <c r="D144" s="14"/>
      <c r="E144" s="16"/>
      <c r="F144" s="15"/>
      <c r="G144" s="26"/>
    </row>
    <row r="145" spans="1:7" x14ac:dyDescent="0.25">
      <c r="A145" s="12">
        <v>141</v>
      </c>
      <c r="B145" s="15"/>
      <c r="C145" s="13"/>
      <c r="D145" s="14"/>
      <c r="E145" s="16"/>
      <c r="F145" s="15"/>
      <c r="G145" s="26"/>
    </row>
    <row r="146" spans="1:7" x14ac:dyDescent="0.25">
      <c r="A146" s="12">
        <v>142</v>
      </c>
      <c r="B146" s="15"/>
      <c r="C146" s="13"/>
      <c r="D146" s="14"/>
      <c r="E146" s="16"/>
      <c r="F146" s="15"/>
      <c r="G146" s="26"/>
    </row>
    <row r="147" spans="1:7" x14ac:dyDescent="0.25">
      <c r="A147" s="12">
        <v>143</v>
      </c>
      <c r="B147" s="15"/>
      <c r="C147" s="13"/>
      <c r="D147" s="14"/>
      <c r="E147" s="16"/>
      <c r="F147" s="15"/>
      <c r="G147" s="26"/>
    </row>
    <row r="148" spans="1:7" x14ac:dyDescent="0.25">
      <c r="A148" s="12">
        <v>144</v>
      </c>
      <c r="B148" s="15"/>
      <c r="C148" s="13"/>
      <c r="D148" s="14"/>
      <c r="E148" s="16"/>
      <c r="F148" s="15"/>
      <c r="G148" s="26"/>
    </row>
    <row r="149" spans="1:7" x14ac:dyDescent="0.25">
      <c r="A149" s="12">
        <v>145</v>
      </c>
      <c r="B149" s="15"/>
      <c r="C149" s="13"/>
      <c r="D149" s="14"/>
      <c r="E149" s="16"/>
      <c r="F149" s="15"/>
      <c r="G149" s="26"/>
    </row>
    <row r="150" spans="1:7" x14ac:dyDescent="0.25">
      <c r="A150" s="12">
        <v>146</v>
      </c>
      <c r="B150" s="15"/>
      <c r="C150" s="13"/>
      <c r="D150" s="14"/>
      <c r="E150" s="16"/>
      <c r="F150" s="15"/>
      <c r="G150" s="26"/>
    </row>
    <row r="151" spans="1:7" x14ac:dyDescent="0.25">
      <c r="A151" s="12">
        <v>147</v>
      </c>
      <c r="B151" s="15"/>
      <c r="C151" s="13"/>
      <c r="D151" s="14"/>
      <c r="E151" s="16"/>
      <c r="F151" s="15"/>
      <c r="G151" s="26"/>
    </row>
    <row r="152" spans="1:7" x14ac:dyDescent="0.25">
      <c r="A152" s="12">
        <v>148</v>
      </c>
      <c r="B152" s="15"/>
      <c r="C152" s="13"/>
      <c r="D152" s="14"/>
      <c r="E152" s="16"/>
      <c r="F152" s="15"/>
      <c r="G152" s="26"/>
    </row>
    <row r="153" spans="1:7" x14ac:dyDescent="0.25">
      <c r="A153" s="12">
        <v>149</v>
      </c>
      <c r="B153" s="15"/>
      <c r="C153" s="13"/>
      <c r="D153" s="14"/>
      <c r="E153" s="16"/>
      <c r="F153" s="15"/>
      <c r="G153" s="26"/>
    </row>
    <row r="154" spans="1:7" x14ac:dyDescent="0.25">
      <c r="A154" s="12">
        <v>150</v>
      </c>
      <c r="B154" s="15"/>
      <c r="C154" s="13"/>
      <c r="D154" s="14"/>
      <c r="E154" s="16"/>
      <c r="F154" s="15"/>
      <c r="G154" s="26"/>
    </row>
    <row r="155" spans="1:7" x14ac:dyDescent="0.25">
      <c r="A155" s="12">
        <v>151</v>
      </c>
      <c r="B155" s="15"/>
      <c r="C155" s="13"/>
      <c r="D155" s="14"/>
      <c r="E155" s="16"/>
      <c r="F155" s="15"/>
      <c r="G155" s="26"/>
    </row>
    <row r="156" spans="1:7" x14ac:dyDescent="0.25">
      <c r="A156" s="12">
        <v>152</v>
      </c>
      <c r="B156" s="15"/>
      <c r="C156" s="13"/>
      <c r="D156" s="14"/>
      <c r="E156" s="16"/>
      <c r="F156" s="15"/>
      <c r="G156" s="26"/>
    </row>
    <row r="157" spans="1:7" x14ac:dyDescent="0.25">
      <c r="A157" s="12">
        <v>153</v>
      </c>
      <c r="B157" s="15"/>
      <c r="C157" s="13"/>
      <c r="D157" s="14"/>
      <c r="E157" s="16"/>
      <c r="F157" s="15"/>
      <c r="G157" s="26"/>
    </row>
    <row r="158" spans="1:7" x14ac:dyDescent="0.25">
      <c r="A158" s="12">
        <v>154</v>
      </c>
      <c r="B158" s="15"/>
      <c r="C158" s="13"/>
      <c r="D158" s="14"/>
      <c r="E158" s="16"/>
      <c r="F158" s="15"/>
      <c r="G158" s="26"/>
    </row>
    <row r="159" spans="1:7" x14ac:dyDescent="0.25">
      <c r="A159" s="12">
        <v>155</v>
      </c>
      <c r="B159" s="15"/>
      <c r="C159" s="13"/>
      <c r="D159" s="14"/>
      <c r="E159" s="16"/>
      <c r="F159" s="15"/>
      <c r="G159" s="26"/>
    </row>
    <row r="160" spans="1:7" x14ac:dyDescent="0.25">
      <c r="A160" s="12">
        <v>156</v>
      </c>
      <c r="B160" s="15"/>
      <c r="C160" s="13"/>
      <c r="D160" s="14"/>
      <c r="E160" s="16"/>
      <c r="F160" s="15"/>
      <c r="G160" s="26"/>
    </row>
    <row r="161" spans="1:7" x14ac:dyDescent="0.25">
      <c r="A161" s="12">
        <v>157</v>
      </c>
      <c r="B161" s="15"/>
      <c r="C161" s="13"/>
      <c r="D161" s="14"/>
      <c r="E161" s="16"/>
      <c r="F161" s="15"/>
      <c r="G161" s="26"/>
    </row>
    <row r="162" spans="1:7" x14ac:dyDescent="0.25">
      <c r="A162" s="12">
        <v>158</v>
      </c>
      <c r="B162" s="15"/>
      <c r="C162" s="13"/>
      <c r="D162" s="14"/>
      <c r="E162" s="16"/>
      <c r="F162" s="15"/>
      <c r="G162" s="26"/>
    </row>
    <row r="163" spans="1:7" x14ac:dyDescent="0.25">
      <c r="A163" s="12">
        <v>159</v>
      </c>
      <c r="B163" s="15"/>
      <c r="C163" s="13"/>
      <c r="D163" s="14"/>
      <c r="E163" s="16"/>
      <c r="F163" s="15"/>
      <c r="G163" s="26"/>
    </row>
    <row r="164" spans="1:7" x14ac:dyDescent="0.25">
      <c r="A164" s="12">
        <v>160</v>
      </c>
      <c r="B164" s="15"/>
      <c r="C164" s="13"/>
      <c r="D164" s="14"/>
      <c r="E164" s="16"/>
      <c r="F164" s="15"/>
      <c r="G164" s="26"/>
    </row>
    <row r="165" spans="1:7" x14ac:dyDescent="0.25">
      <c r="A165" s="12">
        <v>161</v>
      </c>
      <c r="B165" s="15"/>
      <c r="C165" s="13"/>
      <c r="D165" s="14"/>
      <c r="E165" s="16"/>
      <c r="F165" s="15"/>
      <c r="G165" s="26"/>
    </row>
    <row r="166" spans="1:7" x14ac:dyDescent="0.25">
      <c r="A166" s="12">
        <v>162</v>
      </c>
      <c r="B166" s="15"/>
      <c r="C166" s="13"/>
      <c r="D166" s="14"/>
      <c r="E166" s="16"/>
      <c r="F166" s="15"/>
      <c r="G166" s="26"/>
    </row>
    <row r="167" spans="1:7" x14ac:dyDescent="0.25">
      <c r="A167" s="12">
        <v>163</v>
      </c>
      <c r="B167" s="15"/>
      <c r="C167" s="13"/>
      <c r="D167" s="14"/>
      <c r="E167" s="16"/>
      <c r="F167" s="15"/>
      <c r="G167" s="26"/>
    </row>
    <row r="168" spans="1:7" x14ac:dyDescent="0.25">
      <c r="A168" s="12">
        <v>164</v>
      </c>
      <c r="B168" s="15"/>
      <c r="C168" s="13"/>
      <c r="D168" s="14"/>
      <c r="E168" s="16"/>
      <c r="F168" s="15"/>
      <c r="G168" s="26"/>
    </row>
    <row r="169" spans="1:7" x14ac:dyDescent="0.25">
      <c r="A169" s="12">
        <v>165</v>
      </c>
      <c r="B169" s="15"/>
      <c r="C169" s="13"/>
      <c r="D169" s="14"/>
      <c r="E169" s="16"/>
      <c r="F169" s="15"/>
      <c r="G169" s="26"/>
    </row>
    <row r="170" spans="1:7" x14ac:dyDescent="0.25">
      <c r="A170" s="12">
        <v>166</v>
      </c>
      <c r="B170" s="15"/>
      <c r="C170" s="13"/>
      <c r="D170" s="14"/>
      <c r="E170" s="16"/>
      <c r="F170" s="15"/>
      <c r="G170" s="26"/>
    </row>
    <row r="171" spans="1:7" x14ac:dyDescent="0.25">
      <c r="A171" s="12">
        <v>167</v>
      </c>
      <c r="B171" s="15"/>
      <c r="C171" s="13"/>
      <c r="D171" s="14"/>
      <c r="E171" s="16"/>
      <c r="F171" s="15"/>
      <c r="G171" s="26"/>
    </row>
    <row r="172" spans="1:7" x14ac:dyDescent="0.25">
      <c r="A172" s="12">
        <v>168</v>
      </c>
      <c r="B172" s="15"/>
      <c r="C172" s="13"/>
      <c r="D172" s="14"/>
      <c r="E172" s="16"/>
      <c r="F172" s="15"/>
      <c r="G172" s="26"/>
    </row>
    <row r="173" spans="1:7" x14ac:dyDescent="0.25">
      <c r="A173" s="12">
        <v>169</v>
      </c>
      <c r="B173" s="15"/>
      <c r="C173" s="13"/>
      <c r="D173" s="14"/>
      <c r="E173" s="16"/>
      <c r="F173" s="15"/>
      <c r="G173" s="26"/>
    </row>
    <row r="174" spans="1:7" x14ac:dyDescent="0.25">
      <c r="A174" s="12">
        <v>170</v>
      </c>
      <c r="B174" s="15"/>
      <c r="C174" s="13"/>
      <c r="D174" s="14"/>
      <c r="E174" s="16"/>
      <c r="F174" s="15"/>
      <c r="G174" s="26"/>
    </row>
    <row r="175" spans="1:7" x14ac:dyDescent="0.25">
      <c r="A175" s="12">
        <v>171</v>
      </c>
      <c r="B175" s="15"/>
      <c r="C175" s="13"/>
      <c r="D175" s="14"/>
      <c r="E175" s="16"/>
      <c r="F175" s="15"/>
      <c r="G175" s="26"/>
    </row>
    <row r="176" spans="1:7" x14ac:dyDescent="0.25">
      <c r="A176" s="12">
        <v>172</v>
      </c>
      <c r="B176" s="15"/>
      <c r="C176" s="13"/>
      <c r="D176" s="14"/>
      <c r="E176" s="16"/>
      <c r="F176" s="15"/>
      <c r="G176" s="26"/>
    </row>
    <row r="177" spans="1:7" x14ac:dyDescent="0.25">
      <c r="A177" s="12">
        <v>173</v>
      </c>
      <c r="B177" s="15"/>
      <c r="C177" s="13"/>
      <c r="D177" s="14"/>
      <c r="E177" s="16"/>
      <c r="F177" s="15"/>
      <c r="G177" s="26"/>
    </row>
    <row r="178" spans="1:7" x14ac:dyDescent="0.25">
      <c r="A178" s="12">
        <v>174</v>
      </c>
      <c r="B178" s="15"/>
      <c r="C178" s="13"/>
      <c r="D178" s="14"/>
      <c r="E178" s="16"/>
      <c r="F178" s="15"/>
      <c r="G178" s="26"/>
    </row>
    <row r="179" spans="1:7" x14ac:dyDescent="0.25">
      <c r="A179" s="12">
        <v>175</v>
      </c>
      <c r="B179" s="15"/>
      <c r="C179" s="13"/>
      <c r="D179" s="14"/>
      <c r="E179" s="16"/>
      <c r="F179" s="15"/>
      <c r="G179" s="26"/>
    </row>
    <row r="180" spans="1:7" x14ac:dyDescent="0.25">
      <c r="A180" s="12">
        <v>176</v>
      </c>
      <c r="B180" s="15"/>
      <c r="C180" s="13"/>
      <c r="D180" s="14"/>
      <c r="E180" s="16"/>
      <c r="F180" s="15"/>
      <c r="G180" s="26"/>
    </row>
    <row r="181" spans="1:7" x14ac:dyDescent="0.25">
      <c r="A181" s="12">
        <v>177</v>
      </c>
      <c r="B181" s="15"/>
      <c r="C181" s="13"/>
      <c r="D181" s="14"/>
      <c r="E181" s="16"/>
      <c r="F181" s="15"/>
      <c r="G181" s="26"/>
    </row>
    <row r="182" spans="1:7" x14ac:dyDescent="0.25">
      <c r="A182" s="12">
        <v>178</v>
      </c>
      <c r="B182" s="15"/>
      <c r="C182" s="13"/>
      <c r="D182" s="14"/>
      <c r="E182" s="16"/>
      <c r="F182" s="15"/>
      <c r="G182" s="26"/>
    </row>
    <row r="183" spans="1:7" x14ac:dyDescent="0.25">
      <c r="A183" s="12">
        <v>179</v>
      </c>
      <c r="B183" s="15"/>
      <c r="C183" s="13"/>
      <c r="D183" s="14"/>
      <c r="E183" s="16"/>
      <c r="F183" s="15"/>
      <c r="G183" s="26"/>
    </row>
    <row r="184" spans="1:7" x14ac:dyDescent="0.25">
      <c r="A184" s="12">
        <v>180</v>
      </c>
      <c r="B184" s="15"/>
      <c r="C184" s="13"/>
      <c r="D184" s="14"/>
      <c r="E184" s="16"/>
      <c r="F184" s="15"/>
      <c r="G184" s="26"/>
    </row>
    <row r="185" spans="1:7" x14ac:dyDescent="0.25">
      <c r="A185" s="12">
        <v>181</v>
      </c>
      <c r="B185" s="15"/>
      <c r="C185" s="13"/>
      <c r="D185" s="14"/>
      <c r="E185" s="16"/>
      <c r="F185" s="15"/>
      <c r="G185" s="26"/>
    </row>
    <row r="186" spans="1:7" x14ac:dyDescent="0.25">
      <c r="A186" s="12">
        <v>182</v>
      </c>
      <c r="B186" s="15"/>
      <c r="C186" s="13"/>
      <c r="D186" s="14"/>
      <c r="E186" s="16"/>
      <c r="F186" s="15"/>
      <c r="G186" s="26"/>
    </row>
    <row r="187" spans="1:7" x14ac:dyDescent="0.25">
      <c r="A187" s="12">
        <v>183</v>
      </c>
      <c r="B187" s="15"/>
      <c r="C187" s="13"/>
      <c r="D187" s="14"/>
      <c r="E187" s="16"/>
      <c r="F187" s="15"/>
      <c r="G187" s="26"/>
    </row>
    <row r="188" spans="1:7" x14ac:dyDescent="0.25">
      <c r="A188" s="12">
        <v>184</v>
      </c>
      <c r="B188" s="15"/>
      <c r="C188" s="13"/>
      <c r="D188" s="14"/>
      <c r="E188" s="16"/>
      <c r="F188" s="15"/>
      <c r="G188" s="26"/>
    </row>
    <row r="189" spans="1:7" x14ac:dyDescent="0.25">
      <c r="A189" s="12">
        <v>185</v>
      </c>
      <c r="B189" s="15"/>
      <c r="C189" s="13"/>
      <c r="D189" s="14"/>
      <c r="E189" s="16"/>
      <c r="F189" s="15"/>
      <c r="G189" s="26"/>
    </row>
    <row r="190" spans="1:7" x14ac:dyDescent="0.25">
      <c r="A190" s="12">
        <v>186</v>
      </c>
      <c r="B190" s="15"/>
      <c r="C190" s="13"/>
      <c r="D190" s="14"/>
      <c r="E190" s="16"/>
      <c r="F190" s="15"/>
      <c r="G190" s="26"/>
    </row>
    <row r="191" spans="1:7" x14ac:dyDescent="0.25">
      <c r="A191" s="12">
        <v>187</v>
      </c>
      <c r="B191" s="15"/>
      <c r="C191" s="13"/>
      <c r="D191" s="14"/>
      <c r="E191" s="16"/>
      <c r="F191" s="15"/>
      <c r="G191" s="26"/>
    </row>
    <row r="192" spans="1:7" x14ac:dyDescent="0.25">
      <c r="A192" s="12">
        <v>188</v>
      </c>
      <c r="B192" s="15"/>
      <c r="C192" s="13"/>
      <c r="D192" s="14"/>
      <c r="E192" s="16"/>
      <c r="F192" s="15"/>
      <c r="G192" s="26"/>
    </row>
    <row r="193" spans="1:7" x14ac:dyDescent="0.25">
      <c r="A193" s="12">
        <v>189</v>
      </c>
      <c r="B193" s="15"/>
      <c r="C193" s="13"/>
      <c r="D193" s="14"/>
      <c r="E193" s="16"/>
      <c r="F193" s="15"/>
      <c r="G193" s="26"/>
    </row>
    <row r="194" spans="1:7" x14ac:dyDescent="0.25">
      <c r="A194" s="12">
        <v>190</v>
      </c>
      <c r="B194" s="15"/>
      <c r="C194" s="13"/>
      <c r="D194" s="14"/>
      <c r="E194" s="16"/>
      <c r="F194" s="15"/>
      <c r="G194" s="26"/>
    </row>
    <row r="195" spans="1:7" x14ac:dyDescent="0.25">
      <c r="A195" s="12">
        <v>191</v>
      </c>
      <c r="B195" s="15"/>
      <c r="C195" s="13"/>
      <c r="D195" s="14"/>
      <c r="E195" s="16"/>
      <c r="F195" s="15"/>
      <c r="G195" s="26"/>
    </row>
    <row r="196" spans="1:7" x14ac:dyDescent="0.25">
      <c r="A196" s="12">
        <v>192</v>
      </c>
      <c r="B196" s="15"/>
      <c r="C196" s="13"/>
      <c r="D196" s="14"/>
      <c r="E196" s="16"/>
      <c r="F196" s="15"/>
      <c r="G196" s="26"/>
    </row>
    <row r="197" spans="1:7" x14ac:dyDescent="0.25">
      <c r="A197" s="12">
        <v>193</v>
      </c>
      <c r="B197" s="15"/>
      <c r="C197" s="13"/>
      <c r="D197" s="14"/>
      <c r="E197" s="16"/>
      <c r="F197" s="15"/>
      <c r="G197" s="26"/>
    </row>
    <row r="198" spans="1:7" x14ac:dyDescent="0.25">
      <c r="A198" s="12">
        <v>194</v>
      </c>
      <c r="B198" s="15"/>
      <c r="C198" s="13"/>
      <c r="D198" s="14"/>
      <c r="E198" s="16"/>
      <c r="F198" s="15"/>
      <c r="G198" s="26"/>
    </row>
    <row r="199" spans="1:7" ht="15.75" thickBot="1" x14ac:dyDescent="0.3">
      <c r="A199" s="17">
        <v>195</v>
      </c>
      <c r="B199" s="18"/>
      <c r="C199" s="19"/>
      <c r="D199" s="20"/>
      <c r="E199" s="21"/>
      <c r="F199" s="18"/>
      <c r="G199" s="27"/>
    </row>
  </sheetData>
  <mergeCells count="1">
    <mergeCell ref="A2:G2"/>
  </mergeCells>
  <dataValidations count="1">
    <dataValidation type="list" allowBlank="1" showInputMessage="1" showErrorMessage="1" sqref="F4:F199" xr:uid="{4C8E6F78-EBD1-4AEB-8D3B-4EB5E9B294D9}">
      <formula1>$B$4:$B$199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3C5A4E13-5EA6-4510-894F-287ACDEFCEE7}">
          <x14:formula1>
            <xm:f>'Data Validation Lists'!$B$3:$B$16</xm:f>
          </x14:formula1>
          <xm:sqref>G4:G199</xm:sqref>
        </x14:dataValidation>
        <x14:dataValidation type="list" allowBlank="1" showInputMessage="1" showErrorMessage="1" xr:uid="{48207C31-DBDF-4D82-9C07-AC92663B9FE6}">
          <x14:formula1>
            <xm:f>'Data Validation Lists'!$A$3:$A$6</xm:f>
          </x14:formula1>
          <xm:sqref>D200:D1048576</xm:sqref>
        </x14:dataValidation>
        <x14:dataValidation type="list" allowBlank="1" showInputMessage="1" showErrorMessage="1" xr:uid="{9484E722-7B9A-4E0A-9A3B-96138B5A8A20}">
          <x14:formula1>
            <xm:f>'Data Validation Lists'!$C$3:$C$5</xm:f>
          </x14:formula1>
          <xm:sqref>E200:E1048576</xm:sqref>
        </x14:dataValidation>
        <x14:dataValidation type="list" allowBlank="1" showInputMessage="1" showErrorMessage="1" xr:uid="{B5393730-325D-48B2-86E6-75A0251E1E3D}">
          <x14:formula1>
            <xm:f>'Data Validation Lists'!$A$3:$A$16</xm:f>
          </x14:formula1>
          <xm:sqref>D4:D199</xm:sqref>
        </x14:dataValidation>
        <x14:dataValidation type="list" allowBlank="1" showInputMessage="1" showErrorMessage="1" xr:uid="{1A0D6744-00B5-42E0-A77B-168B28F762AF}">
          <x14:formula1>
            <xm:f>'Data Validation Lists'!$C$3:$C$16</xm:f>
          </x14:formula1>
          <xm:sqref>E4:E199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6A7CB1-BF98-4A7A-8CE2-6D37F5CB927F}">
  <sheetPr codeName="Sheet2"/>
  <dimension ref="A1:L250"/>
  <sheetViews>
    <sheetView tabSelected="1" workbookViewId="0">
      <selection activeCell="H11" sqref="H11"/>
    </sheetView>
  </sheetViews>
  <sheetFormatPr defaultRowHeight="15" x14ac:dyDescent="0.25"/>
  <cols>
    <col min="1" max="2" width="11.28515625" style="31" customWidth="1"/>
    <col min="3" max="3" width="19.140625" style="31" customWidth="1"/>
    <col min="4" max="4" width="20.5703125" customWidth="1"/>
    <col min="5" max="5" width="9.7109375" customWidth="1"/>
    <col min="6" max="6" width="18" customWidth="1"/>
    <col min="8" max="8" width="11.5703125" style="1" bestFit="1" customWidth="1"/>
    <col min="9" max="9" width="18.140625" style="1" bestFit="1" customWidth="1"/>
    <col min="10" max="10" width="23.28515625" style="1" bestFit="1" customWidth="1"/>
    <col min="11" max="11" width="12.140625" style="1" bestFit="1" customWidth="1"/>
    <col min="12" max="12" width="13.7109375" style="1" bestFit="1" customWidth="1"/>
  </cols>
  <sheetData>
    <row r="1" spans="1:12" x14ac:dyDescent="0.25">
      <c r="B1" s="35" t="s">
        <v>184</v>
      </c>
      <c r="C1" s="35"/>
      <c r="D1" s="35"/>
      <c r="E1" s="35"/>
      <c r="F1" s="35"/>
      <c r="H1" s="36" t="s">
        <v>193</v>
      </c>
      <c r="I1" s="36"/>
      <c r="J1" s="36"/>
      <c r="K1" s="36"/>
      <c r="L1" s="36"/>
    </row>
    <row r="2" spans="1:12" ht="30" x14ac:dyDescent="0.25">
      <c r="A2"/>
      <c r="B2" s="32" t="s">
        <v>183</v>
      </c>
      <c r="C2" s="32" t="s">
        <v>186</v>
      </c>
      <c r="D2" s="32" t="s">
        <v>185</v>
      </c>
      <c r="E2" s="32" t="s">
        <v>7</v>
      </c>
      <c r="F2" s="32" t="s">
        <v>187</v>
      </c>
      <c r="H2" s="32" t="s">
        <v>183</v>
      </c>
      <c r="I2" s="32" t="s">
        <v>186</v>
      </c>
      <c r="J2" s="32" t="s">
        <v>185</v>
      </c>
      <c r="K2" s="32" t="s">
        <v>7</v>
      </c>
      <c r="L2" s="32" t="s">
        <v>187</v>
      </c>
    </row>
    <row r="3" spans="1:12" x14ac:dyDescent="0.25">
      <c r="A3"/>
      <c r="B3" s="32">
        <v>0</v>
      </c>
      <c r="C3" s="32" t="str">
        <f>IF(B3&lt;&gt;"", LOOKUP(B3,reqTable[Id],reqTable[Name]),"")</f>
        <v>PublicLandingPage</v>
      </c>
      <c r="D3" s="32" t="str">
        <f>IF(C3&lt;&gt;"", LOOKUP(C3,reqTable[Name],reqTable[Coresponding Page]),"")</f>
        <v>No Relevant Category</v>
      </c>
      <c r="E3" s="32" t="str">
        <f>IF(D3&lt;&gt;"", LOOKUP(D3,reqTable[Coresponding Page],reqTable[Priority]),"")</f>
        <v>Low</v>
      </c>
      <c r="F3" s="32"/>
      <c r="H3" s="32">
        <v>1</v>
      </c>
      <c r="I3" s="32"/>
      <c r="J3" s="32"/>
      <c r="K3" s="32"/>
      <c r="L3" s="32"/>
    </row>
    <row r="4" spans="1:12" x14ac:dyDescent="0.25">
      <c r="A4"/>
      <c r="B4" s="32"/>
      <c r="C4" s="32" t="str">
        <f>IF(B4&lt;&gt;"", LOOKUP(B4,reqTable[Id],reqTable[Name]),"")</f>
        <v/>
      </c>
      <c r="D4" s="32" t="str">
        <f>IF(C4&lt;&gt;"", LOOKUP(C4,reqTable[Name],reqTable[Coresponding Page]),"")</f>
        <v/>
      </c>
      <c r="E4" s="32" t="str">
        <f>IF(D4&lt;&gt;"", LOOKUP(D4,reqTable[Coresponding Page],reqTable[Priority]),"")</f>
        <v/>
      </c>
      <c r="F4" s="32"/>
      <c r="H4" s="32">
        <v>2</v>
      </c>
      <c r="I4" s="32"/>
      <c r="J4" s="32"/>
      <c r="K4" s="32"/>
      <c r="L4" s="32"/>
    </row>
    <row r="5" spans="1:12" x14ac:dyDescent="0.25">
      <c r="A5"/>
      <c r="B5" s="32"/>
      <c r="C5" s="32" t="str">
        <f>IF(B5&lt;&gt;"", LOOKUP(B5,reqTable[Id],reqTable[Name]),"")</f>
        <v/>
      </c>
      <c r="D5" s="32" t="str">
        <f>IF(C5&lt;&gt;"", LOOKUP(C5,reqTable[Name],reqTable[Coresponding Page]),"")</f>
        <v/>
      </c>
      <c r="E5" s="32" t="str">
        <f>IF(D5&lt;&gt;"", LOOKUP(D5,reqTable[Coresponding Page],reqTable[Priority]),"")</f>
        <v/>
      </c>
      <c r="F5" s="32"/>
      <c r="H5" s="32">
        <v>3</v>
      </c>
      <c r="I5" s="32"/>
      <c r="J5" s="32"/>
      <c r="K5" s="32"/>
      <c r="L5" s="32"/>
    </row>
    <row r="6" spans="1:12" x14ac:dyDescent="0.25">
      <c r="A6"/>
      <c r="B6" s="32"/>
      <c r="C6" s="32" t="str">
        <f>IF(B6&lt;&gt;"", LOOKUP(B6,reqTable[Id],reqTable[Name]),"")</f>
        <v/>
      </c>
      <c r="D6" s="32" t="str">
        <f>IF(C6&lt;&gt;"", LOOKUP(C6,reqTable[Name],reqTable[Coresponding Page]),"")</f>
        <v/>
      </c>
      <c r="E6" s="32" t="str">
        <f>IF(D6&lt;&gt;"", LOOKUP(D6,reqTable[Coresponding Page],reqTable[Priority]),"")</f>
        <v/>
      </c>
      <c r="F6" s="32"/>
      <c r="H6" s="32">
        <v>4</v>
      </c>
      <c r="I6" s="32"/>
      <c r="J6" s="32"/>
      <c r="K6" s="32"/>
      <c r="L6" s="32"/>
    </row>
    <row r="7" spans="1:12" x14ac:dyDescent="0.25">
      <c r="A7"/>
      <c r="B7" s="32"/>
      <c r="C7" s="32" t="str">
        <f>IF(B7&lt;&gt;"", LOOKUP(B7,reqTable[Id],reqTable[Name]),"")</f>
        <v/>
      </c>
      <c r="D7" s="32" t="str">
        <f>IF(C7&lt;&gt;"", LOOKUP(C7,reqTable[Name],reqTable[Coresponding Page]),"")</f>
        <v/>
      </c>
      <c r="E7" s="32" t="str">
        <f>IF(D7&lt;&gt;"", LOOKUP(D7,reqTable[Coresponding Page],reqTable[Priority]),"")</f>
        <v/>
      </c>
      <c r="F7" s="32"/>
      <c r="H7" s="32">
        <v>5</v>
      </c>
      <c r="I7" s="32"/>
      <c r="J7" s="32"/>
      <c r="K7" s="32"/>
      <c r="L7" s="32"/>
    </row>
    <row r="8" spans="1:12" x14ac:dyDescent="0.25">
      <c r="A8"/>
      <c r="B8" s="32"/>
      <c r="C8" s="32" t="str">
        <f>IF(B8&lt;&gt;"", LOOKUP(B8,reqTable[Id],reqTable[Name]),"")</f>
        <v/>
      </c>
      <c r="D8" s="32" t="str">
        <f>IF(C8&lt;&gt;"", LOOKUP(C8,reqTable[Name],reqTable[Coresponding Page]),"")</f>
        <v/>
      </c>
      <c r="E8" s="32" t="str">
        <f>IF(D8&lt;&gt;"", LOOKUP(D8,reqTable[Coresponding Page],reqTable[Priority]),"")</f>
        <v/>
      </c>
      <c r="F8" s="32"/>
      <c r="H8" s="32">
        <v>2</v>
      </c>
      <c r="I8" s="32"/>
      <c r="J8" s="32"/>
      <c r="K8" s="32"/>
      <c r="L8" s="32"/>
    </row>
    <row r="9" spans="1:12" x14ac:dyDescent="0.25">
      <c r="A9"/>
      <c r="B9" s="32"/>
      <c r="C9" s="32" t="str">
        <f>IF(B9&lt;&gt;"", LOOKUP(B9,reqTable[Id],reqTable[Name]),"")</f>
        <v/>
      </c>
      <c r="D9" s="32" t="str">
        <f>IF(C9&lt;&gt;"", LOOKUP(C9,reqTable[Name],reqTable[Coresponding Page]),"")</f>
        <v/>
      </c>
      <c r="E9" s="32" t="str">
        <f>IF(D9&lt;&gt;"", LOOKUP(D9,reqTable[Coresponding Page],reqTable[Priority]),"")</f>
        <v/>
      </c>
      <c r="F9" s="32"/>
      <c r="H9" s="32">
        <v>5</v>
      </c>
      <c r="I9" s="32"/>
      <c r="J9" s="32"/>
      <c r="K9" s="32"/>
      <c r="L9" s="32"/>
    </row>
    <row r="10" spans="1:12" x14ac:dyDescent="0.25">
      <c r="A10"/>
      <c r="B10" s="32"/>
      <c r="C10" s="32" t="str">
        <f>IF(B10&lt;&gt;"", LOOKUP(B10,reqTable[Id],reqTable[Name]),"")</f>
        <v/>
      </c>
      <c r="D10" s="32" t="str">
        <f>IF(C10&lt;&gt;"", LOOKUP(C10,reqTable[Name],reqTable[Coresponding Page]),"")</f>
        <v/>
      </c>
      <c r="E10" s="32" t="str">
        <f>IF(D10&lt;&gt;"", LOOKUP(D10,reqTable[Coresponding Page],reqTable[Priority]),"")</f>
        <v/>
      </c>
      <c r="F10" s="32"/>
      <c r="H10" s="32">
        <v>6</v>
      </c>
      <c r="I10" s="32"/>
      <c r="J10" s="32"/>
      <c r="K10" s="32"/>
      <c r="L10" s="32"/>
    </row>
    <row r="11" spans="1:12" x14ac:dyDescent="0.25">
      <c r="A11"/>
      <c r="B11" s="32"/>
      <c r="C11" s="32" t="str">
        <f>IF(B11&lt;&gt;"", LOOKUP(B11,reqTable[Id],reqTable[Name]),"")</f>
        <v/>
      </c>
      <c r="D11" s="32" t="str">
        <f>IF(C11&lt;&gt;"", LOOKUP(C11,reqTable[Name],reqTable[Coresponding Page]),"")</f>
        <v/>
      </c>
      <c r="E11" s="32" t="str">
        <f>IF(D11&lt;&gt;"", LOOKUP(D11,reqTable[Coresponding Page],reqTable[Priority]),"")</f>
        <v/>
      </c>
      <c r="F11" s="32"/>
      <c r="H11" s="32"/>
      <c r="I11" s="32"/>
      <c r="J11" s="32"/>
      <c r="K11" s="32"/>
      <c r="L11" s="32"/>
    </row>
    <row r="12" spans="1:12" x14ac:dyDescent="0.25">
      <c r="A12"/>
      <c r="B12" s="32"/>
      <c r="C12" s="32" t="str">
        <f>IF(B12&lt;&gt;"", LOOKUP(B12,reqTable[Id],reqTable[Name]),"")</f>
        <v/>
      </c>
      <c r="D12" s="32" t="str">
        <f>IF(C12&lt;&gt;"", LOOKUP(C12,reqTable[Name],reqTable[Coresponding Page]),"")</f>
        <v/>
      </c>
      <c r="E12" s="32" t="str">
        <f>IF(D12&lt;&gt;"", LOOKUP(D12,reqTable[Coresponding Page],reqTable[Priority]),"")</f>
        <v/>
      </c>
      <c r="F12" s="32"/>
      <c r="H12" s="32"/>
      <c r="I12" s="32"/>
      <c r="J12" s="32"/>
      <c r="K12" s="32"/>
      <c r="L12" s="32"/>
    </row>
    <row r="13" spans="1:12" x14ac:dyDescent="0.25">
      <c r="A13"/>
      <c r="B13" s="32"/>
      <c r="C13" s="32" t="str">
        <f>IF(B13&lt;&gt;"", LOOKUP(B13,reqTable[Id],reqTable[Name]),"")</f>
        <v/>
      </c>
      <c r="D13" s="32" t="str">
        <f>IF(C13&lt;&gt;"", LOOKUP(C13,reqTable[Name],reqTable[Coresponding Page]),"")</f>
        <v/>
      </c>
      <c r="E13" s="32" t="str">
        <f>IF(D13&lt;&gt;"", LOOKUP(D13,reqTable[Coresponding Page],reqTable[Priority]),"")</f>
        <v/>
      </c>
      <c r="F13" s="32"/>
      <c r="H13" s="32"/>
      <c r="I13" s="32"/>
      <c r="J13" s="32"/>
      <c r="K13" s="32"/>
      <c r="L13" s="32"/>
    </row>
    <row r="14" spans="1:12" x14ac:dyDescent="0.25">
      <c r="A14"/>
      <c r="B14" s="32"/>
      <c r="C14" s="32" t="str">
        <f>IF(B14&lt;&gt;"", LOOKUP(B14,reqTable[Id],reqTable[Name]),"")</f>
        <v/>
      </c>
      <c r="D14" s="32" t="str">
        <f>IF(C14&lt;&gt;"", LOOKUP(C14,reqTable[Name],reqTable[Coresponding Page]),"")</f>
        <v/>
      </c>
      <c r="E14" s="32" t="str">
        <f>IF(D14&lt;&gt;"", LOOKUP(D14,reqTable[Coresponding Page],reqTable[Priority]),"")</f>
        <v/>
      </c>
      <c r="F14" s="32"/>
      <c r="H14" s="32"/>
      <c r="I14" s="32"/>
      <c r="J14" s="32"/>
      <c r="K14" s="32"/>
      <c r="L14" s="32"/>
    </row>
    <row r="15" spans="1:12" x14ac:dyDescent="0.25">
      <c r="B15" s="32"/>
      <c r="C15" s="32" t="str">
        <f>IF(B15&lt;&gt;"", LOOKUP(B15,reqTable[Id],reqTable[Name]),"")</f>
        <v/>
      </c>
      <c r="D15" s="32" t="str">
        <f>IF(C15&lt;&gt;"", LOOKUP(C15,reqTable[Name],reqTable[Coresponding Page]),"")</f>
        <v/>
      </c>
      <c r="E15" s="32" t="str">
        <f>IF(D15&lt;&gt;"", LOOKUP(D15,reqTable[Coresponding Page],reqTable[Priority]),"")</f>
        <v/>
      </c>
      <c r="F15" s="32"/>
      <c r="H15" s="32"/>
      <c r="I15" s="32"/>
      <c r="J15" s="32"/>
      <c r="K15" s="32"/>
      <c r="L15" s="32"/>
    </row>
    <row r="16" spans="1:12" x14ac:dyDescent="0.25">
      <c r="B16" s="32"/>
      <c r="C16" s="32" t="str">
        <f>IF(B16&lt;&gt;"", LOOKUP(B16,reqTable[Id],reqTable[Name]),"")</f>
        <v/>
      </c>
      <c r="D16" s="32" t="str">
        <f>IF(C16&lt;&gt;"", LOOKUP(C16,reqTable[Name],reqTable[Coresponding Page]),"")</f>
        <v/>
      </c>
      <c r="E16" s="32" t="str">
        <f>IF(D16&lt;&gt;"", LOOKUP(D16,reqTable[Coresponding Page],reqTable[Priority]),"")</f>
        <v/>
      </c>
      <c r="F16" s="32"/>
      <c r="H16" s="32"/>
      <c r="I16" s="32"/>
      <c r="J16" s="32"/>
      <c r="K16" s="32"/>
      <c r="L16" s="32"/>
    </row>
    <row r="17" spans="2:12" x14ac:dyDescent="0.25">
      <c r="B17" s="32"/>
      <c r="C17" s="32" t="str">
        <f>IF(B17&lt;&gt;"", LOOKUP(B17,reqTable[Id],reqTable[Name]),"")</f>
        <v/>
      </c>
      <c r="D17" s="32" t="str">
        <f>IF(C17&lt;&gt;"", LOOKUP(C17,reqTable[Name],reqTable[Coresponding Page]),"")</f>
        <v/>
      </c>
      <c r="E17" s="32" t="str">
        <f>IF(D17&lt;&gt;"", LOOKUP(D17,reqTable[Coresponding Page],reqTable[Priority]),"")</f>
        <v/>
      </c>
      <c r="F17" s="32"/>
      <c r="H17" s="32"/>
      <c r="I17" s="32"/>
      <c r="J17" s="32"/>
      <c r="K17" s="32"/>
      <c r="L17" s="32"/>
    </row>
    <row r="18" spans="2:12" x14ac:dyDescent="0.25">
      <c r="B18" s="32"/>
      <c r="C18" s="32" t="str">
        <f>IF(B18&lt;&gt;"", LOOKUP(B18,reqTable[Id],reqTable[Name]),"")</f>
        <v/>
      </c>
      <c r="D18" s="32" t="str">
        <f>IF(C18&lt;&gt;"", LOOKUP(C18,reqTable[Name],reqTable[Coresponding Page]),"")</f>
        <v/>
      </c>
      <c r="E18" s="32" t="str">
        <f>IF(D18&lt;&gt;"", LOOKUP(D18,reqTable[Coresponding Page],reqTable[Priority]),"")</f>
        <v/>
      </c>
      <c r="F18" s="32"/>
      <c r="H18" s="32"/>
      <c r="I18" s="32"/>
      <c r="J18" s="32"/>
      <c r="K18" s="32"/>
      <c r="L18" s="32"/>
    </row>
    <row r="19" spans="2:12" x14ac:dyDescent="0.25">
      <c r="B19" s="32"/>
      <c r="C19" s="32" t="str">
        <f>IF(B19&lt;&gt;"", LOOKUP(B19,reqTable[Id],reqTable[Name]),"")</f>
        <v/>
      </c>
      <c r="D19" s="32" t="str">
        <f>IF(C19&lt;&gt;"", LOOKUP(C19,reqTable[Name],reqTable[Coresponding Page]),"")</f>
        <v/>
      </c>
      <c r="E19" s="32" t="str">
        <f>IF(D19&lt;&gt;"", LOOKUP(D19,reqTable[Coresponding Page],reqTable[Priority]),"")</f>
        <v/>
      </c>
      <c r="F19" s="32"/>
      <c r="H19" s="32"/>
      <c r="I19" s="32"/>
      <c r="J19" s="32"/>
      <c r="K19" s="32"/>
      <c r="L19" s="32"/>
    </row>
    <row r="20" spans="2:12" x14ac:dyDescent="0.25">
      <c r="B20" s="32"/>
      <c r="C20" s="32" t="str">
        <f>IF(B20&lt;&gt;"", LOOKUP(B20,reqTable[Id],reqTable[Name]),"")</f>
        <v/>
      </c>
      <c r="D20" s="32" t="str">
        <f>IF(C20&lt;&gt;"", LOOKUP(C20,reqTable[Name],reqTable[Coresponding Page]),"")</f>
        <v/>
      </c>
      <c r="E20" s="32" t="str">
        <f>IF(D20&lt;&gt;"", LOOKUP(D20,reqTable[Coresponding Page],reqTable[Priority]),"")</f>
        <v/>
      </c>
      <c r="F20" s="32"/>
      <c r="H20" s="32"/>
      <c r="I20" s="32"/>
      <c r="J20" s="32"/>
      <c r="K20" s="32"/>
      <c r="L20" s="32"/>
    </row>
    <row r="21" spans="2:12" x14ac:dyDescent="0.25">
      <c r="B21" s="32"/>
      <c r="C21" s="32" t="str">
        <f>IF(B21&lt;&gt;"", LOOKUP(B21,reqTable[Id],reqTable[Name]),"")</f>
        <v/>
      </c>
      <c r="D21" s="32" t="str">
        <f>IF(C21&lt;&gt;"", LOOKUP(C21,reqTable[Name],reqTable[Coresponding Page]),"")</f>
        <v/>
      </c>
      <c r="E21" s="32" t="str">
        <f>IF(D21&lt;&gt;"", LOOKUP(D21,reqTable[Coresponding Page],reqTable[Priority]),"")</f>
        <v/>
      </c>
      <c r="F21" s="32"/>
      <c r="H21" s="32"/>
      <c r="I21" s="32"/>
      <c r="J21" s="32"/>
      <c r="K21" s="32"/>
      <c r="L21" s="32"/>
    </row>
    <row r="22" spans="2:12" x14ac:dyDescent="0.25">
      <c r="B22" s="32"/>
      <c r="C22" s="32" t="str">
        <f>IF(B22&lt;&gt;"", LOOKUP(B22,reqTable[Id],reqTable[Name]),"")</f>
        <v/>
      </c>
      <c r="D22" s="32" t="str">
        <f>IF(C22&lt;&gt;"", LOOKUP(C22,reqTable[Name],reqTable[Coresponding Page]),"")</f>
        <v/>
      </c>
      <c r="E22" s="32" t="str">
        <f>IF(D22&lt;&gt;"", LOOKUP(D22,reqTable[Coresponding Page],reqTable[Priority]),"")</f>
        <v/>
      </c>
      <c r="F22" s="32"/>
      <c r="H22" s="32"/>
      <c r="I22" s="32"/>
      <c r="J22" s="32"/>
      <c r="K22" s="32"/>
      <c r="L22" s="32"/>
    </row>
    <row r="23" spans="2:12" x14ac:dyDescent="0.25">
      <c r="B23" s="32"/>
      <c r="C23" s="32" t="str">
        <f>IF(B23&lt;&gt;"", LOOKUP(B23,reqTable[Id],reqTable[Name]),"")</f>
        <v/>
      </c>
      <c r="D23" s="32" t="str">
        <f>IF(C23&lt;&gt;"", LOOKUP(C23,reqTable[Name],reqTable[Coresponding Page]),"")</f>
        <v/>
      </c>
      <c r="E23" s="32" t="str">
        <f>IF(D23&lt;&gt;"", LOOKUP(D23,reqTable[Coresponding Page],reqTable[Priority]),"")</f>
        <v/>
      </c>
      <c r="F23" s="32"/>
      <c r="H23" s="32"/>
      <c r="I23" s="32"/>
      <c r="J23" s="32"/>
      <c r="K23" s="32"/>
      <c r="L23" s="32"/>
    </row>
    <row r="24" spans="2:12" x14ac:dyDescent="0.25">
      <c r="B24" s="32"/>
      <c r="C24" s="32" t="str">
        <f>IF(B24&lt;&gt;"", LOOKUP(B24,reqTable[Id],reqTable[Name]),"")</f>
        <v/>
      </c>
      <c r="D24" s="32" t="str">
        <f>IF(C24&lt;&gt;"", LOOKUP(C24,reqTable[Name],reqTable[Coresponding Page]),"")</f>
        <v/>
      </c>
      <c r="E24" s="32" t="str">
        <f>IF(D24&lt;&gt;"", LOOKUP(D24,reqTable[Coresponding Page],reqTable[Priority]),"")</f>
        <v/>
      </c>
      <c r="F24" s="32"/>
      <c r="H24" s="32"/>
      <c r="I24" s="32"/>
      <c r="J24" s="32"/>
      <c r="K24" s="32"/>
      <c r="L24" s="32"/>
    </row>
    <row r="25" spans="2:12" x14ac:dyDescent="0.25">
      <c r="B25" s="32"/>
      <c r="C25" s="32" t="str">
        <f>IF(B25&lt;&gt;"", LOOKUP(B25,reqTable[Id],reqTable[Name]),"")</f>
        <v/>
      </c>
      <c r="D25" s="32" t="str">
        <f>IF(C25&lt;&gt;"", LOOKUP(C25,reqTable[Name],reqTable[Coresponding Page]),"")</f>
        <v/>
      </c>
      <c r="E25" s="32" t="str">
        <f>IF(D25&lt;&gt;"", LOOKUP(D25,reqTable[Coresponding Page],reqTable[Priority]),"")</f>
        <v/>
      </c>
      <c r="F25" s="32"/>
      <c r="H25" s="32"/>
      <c r="I25" s="32"/>
      <c r="J25" s="32"/>
      <c r="K25" s="32"/>
      <c r="L25" s="32"/>
    </row>
    <row r="26" spans="2:12" x14ac:dyDescent="0.25">
      <c r="B26" s="32"/>
      <c r="C26" s="32" t="str">
        <f>IF(B26&lt;&gt;"", LOOKUP(B26,reqTable[Id],reqTable[Name]),"")</f>
        <v/>
      </c>
      <c r="D26" s="32" t="str">
        <f>IF(C26&lt;&gt;"", LOOKUP(C26,reqTable[Name],reqTable[Coresponding Page]),"")</f>
        <v/>
      </c>
      <c r="E26" s="32" t="str">
        <f>IF(D26&lt;&gt;"", LOOKUP(D26,reqTable[Coresponding Page],reqTable[Priority]),"")</f>
        <v/>
      </c>
      <c r="F26" s="32"/>
      <c r="H26" s="32"/>
      <c r="I26" s="32"/>
      <c r="J26" s="32"/>
      <c r="K26" s="32"/>
      <c r="L26" s="32"/>
    </row>
    <row r="27" spans="2:12" x14ac:dyDescent="0.25">
      <c r="B27" s="32"/>
      <c r="C27" s="32" t="str">
        <f>IF(B27&lt;&gt;"", LOOKUP(B27,reqTable[Id],reqTable[Name]),"")</f>
        <v/>
      </c>
      <c r="D27" s="32" t="str">
        <f>IF(C27&lt;&gt;"", LOOKUP(C27,reqTable[Name],reqTable[Coresponding Page]),"")</f>
        <v/>
      </c>
      <c r="E27" s="32" t="str">
        <f>IF(D27&lt;&gt;"", LOOKUP(D27,reqTable[Coresponding Page],reqTable[Priority]),"")</f>
        <v/>
      </c>
      <c r="F27" s="32"/>
      <c r="H27" s="32"/>
      <c r="I27" s="32"/>
      <c r="J27" s="32"/>
      <c r="K27" s="32"/>
      <c r="L27" s="32"/>
    </row>
    <row r="28" spans="2:12" x14ac:dyDescent="0.25">
      <c r="B28" s="32"/>
      <c r="C28" s="32" t="str">
        <f>IF(B28&lt;&gt;"", LOOKUP(B28,reqTable[Id],reqTable[Name]),"")</f>
        <v/>
      </c>
      <c r="D28" s="32" t="str">
        <f>IF(C28&lt;&gt;"", LOOKUP(C28,reqTable[Name],reqTable[Coresponding Page]),"")</f>
        <v/>
      </c>
      <c r="E28" s="32" t="str">
        <f>IF(D28&lt;&gt;"", LOOKUP(D28,reqTable[Coresponding Page],reqTable[Priority]),"")</f>
        <v/>
      </c>
      <c r="F28" s="32"/>
      <c r="H28" s="32"/>
      <c r="I28" s="32"/>
      <c r="J28" s="32"/>
      <c r="K28" s="32"/>
      <c r="L28" s="32"/>
    </row>
    <row r="29" spans="2:12" x14ac:dyDescent="0.25">
      <c r="B29" s="32"/>
      <c r="C29" s="32" t="str">
        <f>IF(B29&lt;&gt;"", LOOKUP(B29,reqTable[Id],reqTable[Name]),"")</f>
        <v/>
      </c>
      <c r="D29" s="32" t="str">
        <f>IF(C29&lt;&gt;"", LOOKUP(C29,reqTable[Name],reqTable[Coresponding Page]),"")</f>
        <v/>
      </c>
      <c r="E29" s="32" t="str">
        <f>IF(D29&lt;&gt;"", LOOKUP(D29,reqTable[Coresponding Page],reqTable[Priority]),"")</f>
        <v/>
      </c>
      <c r="F29" s="32"/>
      <c r="H29" s="32"/>
      <c r="I29" s="32"/>
      <c r="J29" s="32"/>
      <c r="K29" s="32"/>
      <c r="L29" s="32"/>
    </row>
    <row r="30" spans="2:12" x14ac:dyDescent="0.25">
      <c r="B30" s="32"/>
      <c r="C30" s="32" t="str">
        <f>IF(B30&lt;&gt;"", LOOKUP(B30,reqTable[Id],reqTable[Name]),"")</f>
        <v/>
      </c>
      <c r="D30" s="32" t="str">
        <f>IF(C30&lt;&gt;"", LOOKUP(C30,reqTable[Name],reqTable[Coresponding Page]),"")</f>
        <v/>
      </c>
      <c r="E30" s="32" t="str">
        <f>IF(D30&lt;&gt;"", LOOKUP(D30,reqTable[Coresponding Page],reqTable[Priority]),"")</f>
        <v/>
      </c>
      <c r="F30" s="32"/>
      <c r="H30" s="32"/>
      <c r="I30" s="32"/>
      <c r="J30" s="32"/>
      <c r="K30" s="32"/>
      <c r="L30" s="32"/>
    </row>
    <row r="31" spans="2:12" x14ac:dyDescent="0.25">
      <c r="B31" s="32"/>
      <c r="C31" s="32" t="str">
        <f>IF(B31&lt;&gt;"", LOOKUP(B31,reqTable[Id],reqTable[Name]),"")</f>
        <v/>
      </c>
      <c r="D31" s="32" t="str">
        <f>IF(C31&lt;&gt;"", LOOKUP(C31,reqTable[Name],reqTable[Coresponding Page]),"")</f>
        <v/>
      </c>
      <c r="E31" s="32" t="str">
        <f>IF(D31&lt;&gt;"", LOOKUP(D31,reqTable[Coresponding Page],reqTable[Priority]),"")</f>
        <v/>
      </c>
      <c r="F31" s="32"/>
      <c r="H31" s="32"/>
      <c r="I31" s="32"/>
      <c r="J31" s="32"/>
      <c r="K31" s="32"/>
      <c r="L31" s="32"/>
    </row>
    <row r="32" spans="2:12" x14ac:dyDescent="0.25">
      <c r="B32" s="32"/>
      <c r="C32" s="32" t="str">
        <f>IF(B32&lt;&gt;"", LOOKUP(B32,reqTable[Id],reqTable[Name]),"")</f>
        <v/>
      </c>
      <c r="D32" s="32" t="str">
        <f>IF(C32&lt;&gt;"", LOOKUP(C32,reqTable[Name],reqTable[Coresponding Page]),"")</f>
        <v/>
      </c>
      <c r="E32" s="32" t="str">
        <f>IF(D32&lt;&gt;"", LOOKUP(D32,reqTable[Coresponding Page],reqTable[Priority]),"")</f>
        <v/>
      </c>
      <c r="F32" s="32"/>
      <c r="H32" s="32"/>
      <c r="I32" s="32"/>
      <c r="J32" s="32"/>
      <c r="K32" s="32"/>
      <c r="L32" s="32"/>
    </row>
    <row r="33" spans="2:12" x14ac:dyDescent="0.25">
      <c r="B33" s="32"/>
      <c r="C33" s="32" t="str">
        <f>IF(B33&lt;&gt;"", LOOKUP(B33,reqTable[Id],reqTable[Name]),"")</f>
        <v/>
      </c>
      <c r="D33" s="32" t="str">
        <f>IF(C33&lt;&gt;"", LOOKUP(C33,reqTable[Name],reqTable[Coresponding Page]),"")</f>
        <v/>
      </c>
      <c r="E33" s="32" t="str">
        <f>IF(D33&lt;&gt;"", LOOKUP(D33,reqTable[Coresponding Page],reqTable[Priority]),"")</f>
        <v/>
      </c>
      <c r="F33" s="32"/>
      <c r="H33" s="32"/>
      <c r="I33" s="32"/>
      <c r="J33" s="32"/>
      <c r="K33" s="32"/>
      <c r="L33" s="32"/>
    </row>
    <row r="34" spans="2:12" x14ac:dyDescent="0.25">
      <c r="B34" s="32"/>
      <c r="C34" s="32" t="str">
        <f>IF(B34&lt;&gt;"", LOOKUP(B34,reqTable[Id],reqTable[Name]),"")</f>
        <v/>
      </c>
      <c r="D34" s="32" t="str">
        <f>IF(C34&lt;&gt;"", LOOKUP(C34,reqTable[Name],reqTable[Coresponding Page]),"")</f>
        <v/>
      </c>
      <c r="E34" s="32" t="str">
        <f>IF(D34&lt;&gt;"", LOOKUP(D34,reqTable[Coresponding Page],reqTable[Priority]),"")</f>
        <v/>
      </c>
      <c r="F34" s="32"/>
      <c r="H34" s="32"/>
      <c r="I34" s="32"/>
      <c r="J34" s="32"/>
      <c r="K34" s="32"/>
      <c r="L34" s="32"/>
    </row>
    <row r="35" spans="2:12" x14ac:dyDescent="0.25">
      <c r="B35" s="32"/>
      <c r="C35" s="32" t="str">
        <f>IF(B35&lt;&gt;"", LOOKUP(B35,reqTable[Id],reqTable[Name]),"")</f>
        <v/>
      </c>
      <c r="D35" s="32" t="str">
        <f>IF(C35&lt;&gt;"", LOOKUP(C35,reqTable[Name],reqTable[Coresponding Page]),"")</f>
        <v/>
      </c>
      <c r="E35" s="32" t="str">
        <f>IF(D35&lt;&gt;"", LOOKUP(D35,reqTable[Coresponding Page],reqTable[Priority]),"")</f>
        <v/>
      </c>
      <c r="F35" s="32"/>
      <c r="H35" s="32"/>
      <c r="I35" s="32"/>
      <c r="J35" s="32"/>
      <c r="K35" s="32"/>
      <c r="L35" s="32"/>
    </row>
    <row r="36" spans="2:12" x14ac:dyDescent="0.25">
      <c r="B36" s="32"/>
      <c r="C36" s="32" t="str">
        <f>IF(B36&lt;&gt;"", LOOKUP(B36,reqTable[Id],reqTable[Name]),"")</f>
        <v/>
      </c>
      <c r="D36" s="32" t="str">
        <f>IF(C36&lt;&gt;"", LOOKUP(C36,reqTable[Name],reqTable[Coresponding Page]),"")</f>
        <v/>
      </c>
      <c r="E36" s="32" t="str">
        <f>IF(D36&lt;&gt;"", LOOKUP(D36,reqTable[Coresponding Page],reqTable[Priority]),"")</f>
        <v/>
      </c>
      <c r="F36" s="32"/>
      <c r="H36" s="32"/>
      <c r="I36" s="32"/>
      <c r="J36" s="32"/>
      <c r="K36" s="32"/>
      <c r="L36" s="32"/>
    </row>
    <row r="37" spans="2:12" x14ac:dyDescent="0.25">
      <c r="B37" s="32"/>
      <c r="C37" s="32" t="str">
        <f>IF(B37&lt;&gt;"", LOOKUP(B37,reqTable[Id],reqTable[Name]),"")</f>
        <v/>
      </c>
      <c r="D37" s="32" t="str">
        <f>IF(C37&lt;&gt;"", LOOKUP(C37,reqTable[Name],reqTable[Coresponding Page]),"")</f>
        <v/>
      </c>
      <c r="E37" s="32" t="str">
        <f>IF(D37&lt;&gt;"", LOOKUP(D37,reqTable[Coresponding Page],reqTable[Priority]),"")</f>
        <v/>
      </c>
      <c r="F37" s="32"/>
      <c r="H37" s="32"/>
      <c r="I37" s="32"/>
      <c r="J37" s="32"/>
      <c r="K37" s="32"/>
      <c r="L37" s="32"/>
    </row>
    <row r="38" spans="2:12" x14ac:dyDescent="0.25">
      <c r="B38" s="32"/>
      <c r="C38" s="32" t="str">
        <f>IF(B38&lt;&gt;"", LOOKUP(B38,reqTable[Id],reqTable[Name]),"")</f>
        <v/>
      </c>
      <c r="D38" s="32" t="str">
        <f>IF(C38&lt;&gt;"", LOOKUP(C38,reqTable[Name],reqTable[Coresponding Page]),"")</f>
        <v/>
      </c>
      <c r="E38" s="32" t="str">
        <f>IF(D38&lt;&gt;"", LOOKUP(D38,reqTable[Coresponding Page],reqTable[Priority]),"")</f>
        <v/>
      </c>
      <c r="F38" s="32"/>
      <c r="H38" s="32"/>
      <c r="I38" s="32"/>
      <c r="J38" s="32"/>
      <c r="K38" s="32"/>
      <c r="L38" s="32"/>
    </row>
    <row r="39" spans="2:12" x14ac:dyDescent="0.25">
      <c r="B39" s="32"/>
      <c r="C39" s="32" t="str">
        <f>IF(B39&lt;&gt;"", LOOKUP(B39,reqTable[Id],reqTable[Name]),"")</f>
        <v/>
      </c>
      <c r="D39" s="32" t="str">
        <f>IF(C39&lt;&gt;"", LOOKUP(C39,reqTable[Name],reqTable[Coresponding Page]),"")</f>
        <v/>
      </c>
      <c r="E39" s="32" t="str">
        <f>IF(D39&lt;&gt;"", LOOKUP(D39,reqTable[Coresponding Page],reqTable[Priority]),"")</f>
        <v/>
      </c>
      <c r="F39" s="32"/>
      <c r="H39" s="32"/>
      <c r="I39" s="32"/>
      <c r="J39" s="32"/>
      <c r="K39" s="32"/>
      <c r="L39" s="32"/>
    </row>
    <row r="40" spans="2:12" x14ac:dyDescent="0.25">
      <c r="B40" s="32"/>
      <c r="C40" s="32" t="str">
        <f>IF(B40&lt;&gt;"", LOOKUP(B40,reqTable[Id],reqTable[Name]),"")</f>
        <v/>
      </c>
      <c r="D40" s="32" t="str">
        <f>IF(C40&lt;&gt;"", LOOKUP(C40,reqTable[Name],reqTable[Coresponding Page]),"")</f>
        <v/>
      </c>
      <c r="E40" s="32" t="str">
        <f>IF(D40&lt;&gt;"", LOOKUP(D40,reqTable[Coresponding Page],reqTable[Priority]),"")</f>
        <v/>
      </c>
      <c r="F40" s="32"/>
      <c r="H40" s="32"/>
      <c r="I40" s="32"/>
      <c r="J40" s="32"/>
      <c r="K40" s="32"/>
      <c r="L40" s="32"/>
    </row>
    <row r="41" spans="2:12" x14ac:dyDescent="0.25">
      <c r="B41" s="32"/>
      <c r="C41" s="32" t="str">
        <f>IF(B41&lt;&gt;"", LOOKUP(B41,reqTable[Id],reqTable[Name]),"")</f>
        <v/>
      </c>
      <c r="D41" s="32" t="str">
        <f>IF(C41&lt;&gt;"", LOOKUP(C41,reqTable[Name],reqTable[Coresponding Page]),"")</f>
        <v/>
      </c>
      <c r="E41" s="32" t="str">
        <f>IF(D41&lt;&gt;"", LOOKUP(D41,reqTable[Coresponding Page],reqTable[Priority]),"")</f>
        <v/>
      </c>
      <c r="F41" s="32"/>
      <c r="H41" s="32"/>
      <c r="I41" s="32"/>
      <c r="J41" s="32"/>
      <c r="K41" s="32"/>
      <c r="L41" s="32"/>
    </row>
    <row r="42" spans="2:12" x14ac:dyDescent="0.25">
      <c r="B42" s="32"/>
      <c r="C42" s="32" t="str">
        <f>IF(B42&lt;&gt;"", LOOKUP(B42,reqTable[Id],reqTable[Name]),"")</f>
        <v/>
      </c>
      <c r="D42" s="32" t="str">
        <f>IF(C42&lt;&gt;"", LOOKUP(C42,reqTable[Name],reqTable[Coresponding Page]),"")</f>
        <v/>
      </c>
      <c r="E42" s="32" t="str">
        <f>IF(D42&lt;&gt;"", LOOKUP(D42,reqTable[Coresponding Page],reqTable[Priority]),"")</f>
        <v/>
      </c>
      <c r="F42" s="32"/>
      <c r="H42" s="32"/>
      <c r="I42" s="32"/>
      <c r="J42" s="32"/>
      <c r="K42" s="32"/>
      <c r="L42" s="32"/>
    </row>
    <row r="43" spans="2:12" x14ac:dyDescent="0.25">
      <c r="B43" s="32"/>
      <c r="C43" s="32" t="str">
        <f>IF(B43&lt;&gt;"", LOOKUP(B43,reqTable[Id],reqTable[Name]),"")</f>
        <v/>
      </c>
      <c r="D43" s="32" t="str">
        <f>IF(C43&lt;&gt;"", LOOKUP(C43,reqTable[Name],reqTable[Coresponding Page]),"")</f>
        <v/>
      </c>
      <c r="E43" s="32" t="str">
        <f>IF(D43&lt;&gt;"", LOOKUP(D43,reqTable[Coresponding Page],reqTable[Priority]),"")</f>
        <v/>
      </c>
      <c r="F43" s="32"/>
      <c r="H43" s="32"/>
      <c r="I43" s="32"/>
      <c r="J43" s="32"/>
      <c r="K43" s="32"/>
      <c r="L43" s="32"/>
    </row>
    <row r="44" spans="2:12" x14ac:dyDescent="0.25">
      <c r="B44" s="32"/>
      <c r="C44" s="32" t="str">
        <f>IF(B44&lt;&gt;"", LOOKUP(B44,reqTable[Id],reqTable[Name]),"")</f>
        <v/>
      </c>
      <c r="D44" s="32" t="str">
        <f>IF(C44&lt;&gt;"", LOOKUP(C44,reqTable[Name],reqTable[Coresponding Page]),"")</f>
        <v/>
      </c>
      <c r="E44" s="32" t="str">
        <f>IF(D44&lt;&gt;"", LOOKUP(D44,reqTable[Coresponding Page],reqTable[Priority]),"")</f>
        <v/>
      </c>
      <c r="F44" s="32"/>
      <c r="H44" s="32"/>
      <c r="I44" s="32"/>
      <c r="J44" s="32"/>
      <c r="K44" s="32"/>
      <c r="L44" s="32"/>
    </row>
    <row r="45" spans="2:12" x14ac:dyDescent="0.25">
      <c r="B45" s="32"/>
      <c r="C45" s="32" t="str">
        <f>IF(B45&lt;&gt;"", LOOKUP(B45,reqTable[Id],reqTable[Name]),"")</f>
        <v/>
      </c>
      <c r="D45" s="32" t="str">
        <f>IF(C45&lt;&gt;"", LOOKUP(C45,reqTable[Name],reqTable[Coresponding Page]),"")</f>
        <v/>
      </c>
      <c r="E45" s="32" t="str">
        <f>IF(D45&lt;&gt;"", LOOKUP(D45,reqTable[Coresponding Page],reqTable[Priority]),"")</f>
        <v/>
      </c>
      <c r="F45" s="32"/>
      <c r="H45" s="32"/>
      <c r="I45" s="32"/>
      <c r="J45" s="32"/>
      <c r="K45" s="32"/>
      <c r="L45" s="32"/>
    </row>
    <row r="46" spans="2:12" x14ac:dyDescent="0.25">
      <c r="B46" s="32"/>
      <c r="C46" s="32" t="str">
        <f>IF(B46&lt;&gt;"", LOOKUP(B46,reqTable[Id],reqTable[Name]),"")</f>
        <v/>
      </c>
      <c r="D46" s="32" t="str">
        <f>IF(C46&lt;&gt;"", LOOKUP(C46,reqTable[Name],reqTable[Coresponding Page]),"")</f>
        <v/>
      </c>
      <c r="E46" s="32" t="str">
        <f>IF(D46&lt;&gt;"", LOOKUP(D46,reqTable[Coresponding Page],reqTable[Priority]),"")</f>
        <v/>
      </c>
      <c r="F46" s="32"/>
      <c r="H46" s="32"/>
      <c r="I46" s="32"/>
      <c r="J46" s="32"/>
      <c r="K46" s="32"/>
      <c r="L46" s="32"/>
    </row>
    <row r="47" spans="2:12" x14ac:dyDescent="0.25">
      <c r="B47" s="32"/>
      <c r="C47" s="32" t="str">
        <f>IF(B47&lt;&gt;"", LOOKUP(B47,reqTable[Id],reqTable[Name]),"")</f>
        <v/>
      </c>
      <c r="D47" s="32" t="str">
        <f>IF(C47&lt;&gt;"", LOOKUP(C47,reqTable[Name],reqTable[Coresponding Page]),"")</f>
        <v/>
      </c>
      <c r="E47" s="32" t="str">
        <f>IF(D47&lt;&gt;"", LOOKUP(D47,reqTable[Coresponding Page],reqTable[Priority]),"")</f>
        <v/>
      </c>
      <c r="F47" s="32"/>
      <c r="H47" s="32"/>
      <c r="I47" s="32"/>
      <c r="J47" s="32"/>
      <c r="K47" s="32"/>
      <c r="L47" s="32"/>
    </row>
    <row r="48" spans="2:12" x14ac:dyDescent="0.25">
      <c r="B48" s="32"/>
      <c r="C48" s="32" t="str">
        <f>IF(B48&lt;&gt;"", LOOKUP(B48,reqTable[Id],reqTable[Name]),"")</f>
        <v/>
      </c>
      <c r="D48" s="32" t="str">
        <f>IF(C48&lt;&gt;"", LOOKUP(C48,reqTable[Name],reqTable[Coresponding Page]),"")</f>
        <v/>
      </c>
      <c r="E48" s="32" t="str">
        <f>IF(D48&lt;&gt;"", LOOKUP(D48,reqTable[Coresponding Page],reqTable[Priority]),"")</f>
        <v/>
      </c>
      <c r="F48" s="32"/>
      <c r="H48" s="32"/>
      <c r="I48" s="32"/>
      <c r="J48" s="32"/>
      <c r="K48" s="32"/>
      <c r="L48" s="32"/>
    </row>
    <row r="49" spans="2:12" x14ac:dyDescent="0.25">
      <c r="B49" s="32"/>
      <c r="C49" s="32" t="str">
        <f>IF(B49&lt;&gt;"", LOOKUP(B49,reqTable[Id],reqTable[Name]),"")</f>
        <v/>
      </c>
      <c r="D49" s="32" t="str">
        <f>IF(C49&lt;&gt;"", LOOKUP(C49,reqTable[Name],reqTable[Coresponding Page]),"")</f>
        <v/>
      </c>
      <c r="E49" s="32" t="str">
        <f>IF(D49&lt;&gt;"", LOOKUP(D49,reqTable[Coresponding Page],reqTable[Priority]),"")</f>
        <v/>
      </c>
      <c r="F49" s="32"/>
      <c r="H49" s="32"/>
      <c r="I49" s="32"/>
      <c r="J49" s="32"/>
      <c r="K49" s="32"/>
      <c r="L49" s="32"/>
    </row>
    <row r="50" spans="2:12" x14ac:dyDescent="0.25">
      <c r="B50" s="32"/>
      <c r="C50" s="32" t="str">
        <f>IF(B50&lt;&gt;"", LOOKUP(B50,reqTable[Id],reqTable[Name]),"")</f>
        <v/>
      </c>
      <c r="D50" s="32" t="str">
        <f>IF(C50&lt;&gt;"", LOOKUP(C50,reqTable[Name],reqTable[Coresponding Page]),"")</f>
        <v/>
      </c>
      <c r="E50" s="32" t="str">
        <f>IF(D50&lt;&gt;"", LOOKUP(D50,reqTable[Coresponding Page],reqTable[Priority]),"")</f>
        <v/>
      </c>
      <c r="F50" s="32"/>
      <c r="H50" s="32"/>
      <c r="I50" s="32"/>
      <c r="J50" s="32"/>
      <c r="K50" s="32"/>
      <c r="L50" s="32"/>
    </row>
    <row r="51" spans="2:12" x14ac:dyDescent="0.25">
      <c r="B51" s="32"/>
      <c r="C51" s="32" t="str">
        <f>IF(B51&lt;&gt;"", LOOKUP(B51,reqTable[Id],reqTable[Name]),"")</f>
        <v/>
      </c>
      <c r="D51" s="32" t="str">
        <f>IF(C51&lt;&gt;"", LOOKUP(C51,reqTable[Name],reqTable[Coresponding Page]),"")</f>
        <v/>
      </c>
      <c r="E51" s="32" t="str">
        <f>IF(D51&lt;&gt;"", LOOKUP(D51,reqTable[Coresponding Page],reqTable[Priority]),"")</f>
        <v/>
      </c>
      <c r="F51" s="32"/>
      <c r="H51" s="32"/>
      <c r="I51" s="32"/>
      <c r="J51" s="32"/>
      <c r="K51" s="32"/>
      <c r="L51" s="32"/>
    </row>
    <row r="52" spans="2:12" x14ac:dyDescent="0.25">
      <c r="B52" s="32"/>
      <c r="C52" s="32" t="str">
        <f>IF(B52&lt;&gt;"", LOOKUP(B52,reqTable[Id],reqTable[Name]),"")</f>
        <v/>
      </c>
      <c r="D52" s="32" t="str">
        <f>IF(C52&lt;&gt;"", LOOKUP(C52,reqTable[Name],reqTable[Coresponding Page]),"")</f>
        <v/>
      </c>
      <c r="E52" s="32" t="str">
        <f>IF(D52&lt;&gt;"", LOOKUP(D52,reqTable[Coresponding Page],reqTable[Priority]),"")</f>
        <v/>
      </c>
      <c r="F52" s="32"/>
      <c r="H52" s="32"/>
      <c r="I52" s="32"/>
      <c r="J52" s="32"/>
      <c r="K52" s="32"/>
      <c r="L52" s="32"/>
    </row>
    <row r="53" spans="2:12" x14ac:dyDescent="0.25">
      <c r="B53" s="32"/>
      <c r="C53" s="32" t="str">
        <f>IF(B53&lt;&gt;"", LOOKUP(B53,reqTable[Id],reqTable[Name]),"")</f>
        <v/>
      </c>
      <c r="D53" s="32" t="str">
        <f>IF(C53&lt;&gt;"", LOOKUP(C53,reqTable[Name],reqTable[Coresponding Page]),"")</f>
        <v/>
      </c>
      <c r="E53" s="32" t="str">
        <f>IF(D53&lt;&gt;"", LOOKUP(D53,reqTable[Coresponding Page],reqTable[Priority]),"")</f>
        <v/>
      </c>
      <c r="F53" s="32"/>
      <c r="H53" s="32"/>
      <c r="I53" s="32"/>
      <c r="J53" s="32"/>
      <c r="K53" s="32"/>
      <c r="L53" s="32"/>
    </row>
    <row r="54" spans="2:12" x14ac:dyDescent="0.25">
      <c r="B54" s="32"/>
      <c r="C54" s="32" t="str">
        <f>IF(B54&lt;&gt;"", LOOKUP(B54,reqTable[Id],reqTable[Name]),"")</f>
        <v/>
      </c>
      <c r="D54" s="32" t="str">
        <f>IF(C54&lt;&gt;"", LOOKUP(C54,reqTable[Name],reqTable[Coresponding Page]),"")</f>
        <v/>
      </c>
      <c r="E54" s="32" t="str">
        <f>IF(D54&lt;&gt;"", LOOKUP(D54,reqTable[Coresponding Page],reqTable[Priority]),"")</f>
        <v/>
      </c>
      <c r="F54" s="32"/>
      <c r="H54" s="32"/>
      <c r="I54" s="32"/>
      <c r="J54" s="32"/>
      <c r="K54" s="32"/>
      <c r="L54" s="32"/>
    </row>
    <row r="55" spans="2:12" x14ac:dyDescent="0.25">
      <c r="B55" s="32"/>
      <c r="C55" s="32" t="str">
        <f>IF(B55&lt;&gt;"", LOOKUP(B55,reqTable[Id],reqTable[Name]),"")</f>
        <v/>
      </c>
      <c r="D55" s="32" t="str">
        <f>IF(C55&lt;&gt;"", LOOKUP(C55,reqTable[Name],reqTable[Coresponding Page]),"")</f>
        <v/>
      </c>
      <c r="E55" s="32" t="str">
        <f>IF(D55&lt;&gt;"", LOOKUP(D55,reqTable[Coresponding Page],reqTable[Priority]),"")</f>
        <v/>
      </c>
      <c r="F55" s="32"/>
      <c r="H55" s="32"/>
      <c r="I55" s="32"/>
      <c r="J55" s="32"/>
      <c r="K55" s="32"/>
      <c r="L55" s="32"/>
    </row>
    <row r="56" spans="2:12" x14ac:dyDescent="0.25">
      <c r="B56" s="32"/>
      <c r="C56" s="32" t="str">
        <f>IF(B56&lt;&gt;"", LOOKUP(B56,reqTable[Id],reqTable[Name]),"")</f>
        <v/>
      </c>
      <c r="D56" s="32" t="str">
        <f>IF(C56&lt;&gt;"", LOOKUP(C56,reqTable[Name],reqTable[Coresponding Page]),"")</f>
        <v/>
      </c>
      <c r="E56" s="32" t="str">
        <f>IF(D56&lt;&gt;"", LOOKUP(D56,reqTable[Coresponding Page],reqTable[Priority]),"")</f>
        <v/>
      </c>
      <c r="F56" s="32"/>
      <c r="H56" s="32"/>
      <c r="I56" s="32"/>
      <c r="J56" s="32"/>
      <c r="K56" s="32"/>
      <c r="L56" s="32"/>
    </row>
    <row r="57" spans="2:12" x14ac:dyDescent="0.25">
      <c r="B57" s="32"/>
      <c r="C57" s="32" t="str">
        <f>IF(B57&lt;&gt;"", LOOKUP(B57,reqTable[Id],reqTable[Name]),"")</f>
        <v/>
      </c>
      <c r="D57" s="32" t="str">
        <f>IF(C57&lt;&gt;"", LOOKUP(C57,reqTable[Name],reqTable[Coresponding Page]),"")</f>
        <v/>
      </c>
      <c r="E57" s="32" t="str">
        <f>IF(D57&lt;&gt;"", LOOKUP(D57,reqTable[Coresponding Page],reqTable[Priority]),"")</f>
        <v/>
      </c>
      <c r="F57" s="32"/>
      <c r="H57" s="32"/>
      <c r="I57" s="32"/>
      <c r="J57" s="32"/>
      <c r="K57" s="32"/>
      <c r="L57" s="32"/>
    </row>
    <row r="58" spans="2:12" x14ac:dyDescent="0.25">
      <c r="B58" s="32"/>
      <c r="C58" s="32" t="str">
        <f>IF(B58&lt;&gt;"", LOOKUP(B58,reqTable[Id],reqTable[Name]),"")</f>
        <v/>
      </c>
      <c r="D58" s="32" t="str">
        <f>IF(C58&lt;&gt;"", LOOKUP(C58,reqTable[Name],reqTable[Coresponding Page]),"")</f>
        <v/>
      </c>
      <c r="E58" s="32" t="str">
        <f>IF(D58&lt;&gt;"", LOOKUP(D58,reqTable[Coresponding Page],reqTable[Priority]),"")</f>
        <v/>
      </c>
      <c r="F58" s="32"/>
      <c r="H58" s="32"/>
      <c r="I58" s="32"/>
      <c r="J58" s="32"/>
      <c r="K58" s="32"/>
      <c r="L58" s="32"/>
    </row>
    <row r="59" spans="2:12" x14ac:dyDescent="0.25">
      <c r="B59" s="32"/>
      <c r="C59" s="32" t="str">
        <f>IF(B59&lt;&gt;"", LOOKUP(B59,reqTable[Id],reqTable[Name]),"")</f>
        <v/>
      </c>
      <c r="D59" s="32" t="str">
        <f>IF(C59&lt;&gt;"", LOOKUP(C59,reqTable[Name],reqTable[Coresponding Page]),"")</f>
        <v/>
      </c>
      <c r="E59" s="32" t="str">
        <f>IF(D59&lt;&gt;"", LOOKUP(D59,reqTable[Coresponding Page],reqTable[Priority]),"")</f>
        <v/>
      </c>
      <c r="F59" s="32"/>
      <c r="H59" s="32"/>
      <c r="I59" s="32"/>
      <c r="J59" s="32"/>
      <c r="K59" s="32"/>
      <c r="L59" s="32"/>
    </row>
    <row r="60" spans="2:12" x14ac:dyDescent="0.25">
      <c r="B60" s="32"/>
      <c r="C60" s="32" t="str">
        <f>IF(B60&lt;&gt;"", LOOKUP(B60,reqTable[Id],reqTable[Name]),"")</f>
        <v/>
      </c>
      <c r="D60" s="32" t="str">
        <f>IF(C60&lt;&gt;"", LOOKUP(C60,reqTable[Name],reqTable[Coresponding Page]),"")</f>
        <v/>
      </c>
      <c r="E60" s="32" t="str">
        <f>IF(D60&lt;&gt;"", LOOKUP(D60,reqTable[Coresponding Page],reqTable[Priority]),"")</f>
        <v/>
      </c>
      <c r="F60" s="32"/>
      <c r="H60" s="32"/>
      <c r="I60" s="32"/>
      <c r="J60" s="32"/>
      <c r="K60" s="32"/>
      <c r="L60" s="32"/>
    </row>
    <row r="61" spans="2:12" x14ac:dyDescent="0.25">
      <c r="B61" s="32"/>
      <c r="C61" s="32" t="str">
        <f>IF(B61&lt;&gt;"", LOOKUP(B61,reqTable[Id],reqTable[Name]),"")</f>
        <v/>
      </c>
      <c r="D61" s="32" t="str">
        <f>IF(C61&lt;&gt;"", LOOKUP(C61,reqTable[Name],reqTable[Coresponding Page]),"")</f>
        <v/>
      </c>
      <c r="E61" s="32" t="str">
        <f>IF(D61&lt;&gt;"", LOOKUP(D61,reqTable[Coresponding Page],reqTable[Priority]),"")</f>
        <v/>
      </c>
      <c r="F61" s="32"/>
      <c r="H61" s="32"/>
      <c r="I61" s="32"/>
      <c r="J61" s="32"/>
      <c r="K61" s="32"/>
      <c r="L61" s="32"/>
    </row>
    <row r="62" spans="2:12" x14ac:dyDescent="0.25">
      <c r="B62" s="32"/>
      <c r="C62" s="32" t="str">
        <f>IF(B62&lt;&gt;"", LOOKUP(B62,reqTable[Id],reqTable[Name]),"")</f>
        <v/>
      </c>
      <c r="D62" s="32" t="str">
        <f>IF(C62&lt;&gt;"", LOOKUP(C62,reqTable[Name],reqTable[Coresponding Page]),"")</f>
        <v/>
      </c>
      <c r="E62" s="32" t="str">
        <f>IF(D62&lt;&gt;"", LOOKUP(D62,reqTable[Coresponding Page],reqTable[Priority]),"")</f>
        <v/>
      </c>
      <c r="F62" s="32"/>
      <c r="H62" s="32"/>
      <c r="I62" s="32"/>
      <c r="J62" s="32"/>
      <c r="K62" s="32"/>
      <c r="L62" s="32"/>
    </row>
    <row r="63" spans="2:12" x14ac:dyDescent="0.25">
      <c r="B63" s="32"/>
      <c r="C63" s="32" t="str">
        <f>IF(B63&lt;&gt;"", LOOKUP(B63,reqTable[Id],reqTable[Name]),"")</f>
        <v/>
      </c>
      <c r="D63" s="32" t="str">
        <f>IF(C63&lt;&gt;"", LOOKUP(C63,reqTable[Name],reqTable[Coresponding Page]),"")</f>
        <v/>
      </c>
      <c r="E63" s="32" t="str">
        <f>IF(D63&lt;&gt;"", LOOKUP(D63,reqTable[Coresponding Page],reqTable[Priority]),"")</f>
        <v/>
      </c>
      <c r="F63" s="32"/>
      <c r="H63" s="32"/>
      <c r="I63" s="32"/>
      <c r="J63" s="32"/>
      <c r="K63" s="32"/>
      <c r="L63" s="32"/>
    </row>
    <row r="64" spans="2:12" x14ac:dyDescent="0.25">
      <c r="B64" s="32"/>
      <c r="C64" s="32" t="str">
        <f>IF(B64&lt;&gt;"", LOOKUP(B64,reqTable[Id],reqTable[Name]),"")</f>
        <v/>
      </c>
      <c r="D64" s="32" t="str">
        <f>IF(C64&lt;&gt;"", LOOKUP(C64,reqTable[Name],reqTable[Coresponding Page]),"")</f>
        <v/>
      </c>
      <c r="E64" s="32" t="str">
        <f>IF(D64&lt;&gt;"", LOOKUP(D64,reqTable[Coresponding Page],reqTable[Priority]),"")</f>
        <v/>
      </c>
      <c r="F64" s="32"/>
      <c r="H64" s="32"/>
      <c r="I64" s="32"/>
      <c r="J64" s="32"/>
      <c r="K64" s="32"/>
      <c r="L64" s="32"/>
    </row>
    <row r="65" spans="2:12" x14ac:dyDescent="0.25">
      <c r="B65" s="32"/>
      <c r="C65" s="32" t="str">
        <f>IF(B65&lt;&gt;"", LOOKUP(B65,reqTable[Id],reqTable[Name]),"")</f>
        <v/>
      </c>
      <c r="D65" s="32" t="str">
        <f>IF(C65&lt;&gt;"", LOOKUP(C65,reqTable[Name],reqTable[Coresponding Page]),"")</f>
        <v/>
      </c>
      <c r="E65" s="32" t="str">
        <f>IF(D65&lt;&gt;"", LOOKUP(D65,reqTable[Coresponding Page],reqTable[Priority]),"")</f>
        <v/>
      </c>
      <c r="F65" s="32"/>
      <c r="H65" s="32"/>
      <c r="I65" s="32"/>
      <c r="J65" s="32"/>
      <c r="K65" s="32"/>
      <c r="L65" s="32"/>
    </row>
    <row r="66" spans="2:12" x14ac:dyDescent="0.25">
      <c r="B66" s="32"/>
      <c r="C66" s="32" t="str">
        <f>IF(B66&lt;&gt;"", LOOKUP(B66,reqTable[Id],reqTable[Name]),"")</f>
        <v/>
      </c>
      <c r="D66" s="32" t="str">
        <f>IF(C66&lt;&gt;"", LOOKUP(C66,reqTable[Name],reqTable[Coresponding Page]),"")</f>
        <v/>
      </c>
      <c r="E66" s="32" t="str">
        <f>IF(D66&lt;&gt;"", LOOKUP(D66,reqTable[Coresponding Page],reqTable[Priority]),"")</f>
        <v/>
      </c>
      <c r="F66" s="32"/>
      <c r="H66" s="32"/>
      <c r="I66" s="32"/>
      <c r="J66" s="32"/>
      <c r="K66" s="32"/>
      <c r="L66" s="32"/>
    </row>
    <row r="67" spans="2:12" x14ac:dyDescent="0.25">
      <c r="B67" s="32"/>
      <c r="C67" s="32" t="str">
        <f>IF(B67&lt;&gt;"", LOOKUP(B67,reqTable[Id],reqTable[Name]),"")</f>
        <v/>
      </c>
      <c r="D67" s="32" t="str">
        <f>IF(C67&lt;&gt;"", LOOKUP(C67,reqTable[Name],reqTable[Coresponding Page]),"")</f>
        <v/>
      </c>
      <c r="E67" s="32" t="str">
        <f>IF(D67&lt;&gt;"", LOOKUP(D67,reqTable[Coresponding Page],reqTable[Priority]),"")</f>
        <v/>
      </c>
      <c r="F67" s="32"/>
      <c r="H67" s="32"/>
      <c r="I67" s="32"/>
      <c r="J67" s="32"/>
      <c r="K67" s="32"/>
      <c r="L67" s="32"/>
    </row>
    <row r="68" spans="2:12" x14ac:dyDescent="0.25">
      <c r="B68" s="32"/>
      <c r="C68" s="32" t="str">
        <f>IF(B68&lt;&gt;"", LOOKUP(B68,reqTable[Id],reqTable[Name]),"")</f>
        <v/>
      </c>
      <c r="D68" s="32" t="str">
        <f>IF(C68&lt;&gt;"", LOOKUP(C68,reqTable[Name],reqTable[Coresponding Page]),"")</f>
        <v/>
      </c>
      <c r="E68" s="32" t="str">
        <f>IF(D68&lt;&gt;"", LOOKUP(D68,reqTable[Coresponding Page],reqTable[Priority]),"")</f>
        <v/>
      </c>
      <c r="F68" s="32"/>
      <c r="H68" s="32"/>
      <c r="I68" s="32"/>
      <c r="J68" s="32"/>
      <c r="K68" s="32"/>
      <c r="L68" s="32"/>
    </row>
    <row r="69" spans="2:12" x14ac:dyDescent="0.25">
      <c r="B69" s="32"/>
      <c r="C69" s="32" t="str">
        <f>IF(B69&lt;&gt;"", LOOKUP(B69,reqTable[Id],reqTable[Name]),"")</f>
        <v/>
      </c>
      <c r="D69" s="32" t="str">
        <f>IF(C69&lt;&gt;"", LOOKUP(C69,reqTable[Name],reqTable[Coresponding Page]),"")</f>
        <v/>
      </c>
      <c r="E69" s="32" t="str">
        <f>IF(D69&lt;&gt;"", LOOKUP(D69,reqTable[Coresponding Page],reqTable[Priority]),"")</f>
        <v/>
      </c>
      <c r="F69" s="32"/>
      <c r="H69" s="32"/>
      <c r="I69" s="32"/>
      <c r="J69" s="32"/>
      <c r="K69" s="32"/>
      <c r="L69" s="32"/>
    </row>
    <row r="70" spans="2:12" x14ac:dyDescent="0.25">
      <c r="B70" s="32"/>
      <c r="C70" s="32" t="str">
        <f>IF(B70&lt;&gt;"", LOOKUP(B70,reqTable[Id],reqTable[Name]),"")</f>
        <v/>
      </c>
      <c r="D70" s="32" t="str">
        <f>IF(C70&lt;&gt;"", LOOKUP(C70,reqTable[Name],reqTable[Coresponding Page]),"")</f>
        <v/>
      </c>
      <c r="E70" s="32" t="str">
        <f>IF(D70&lt;&gt;"", LOOKUP(D70,reqTable[Coresponding Page],reqTable[Priority]),"")</f>
        <v/>
      </c>
      <c r="F70" s="32"/>
      <c r="H70" s="32"/>
      <c r="I70" s="32"/>
      <c r="J70" s="32"/>
      <c r="K70" s="32"/>
      <c r="L70" s="32"/>
    </row>
    <row r="71" spans="2:12" x14ac:dyDescent="0.25">
      <c r="B71" s="32"/>
      <c r="C71" s="32" t="str">
        <f>IF(B71&lt;&gt;"", LOOKUP(B71,reqTable[Id],reqTable[Name]),"")</f>
        <v/>
      </c>
      <c r="D71" s="32" t="str">
        <f>IF(C71&lt;&gt;"", LOOKUP(C71,reqTable[Name],reqTable[Coresponding Page]),"")</f>
        <v/>
      </c>
      <c r="E71" s="32" t="str">
        <f>IF(D71&lt;&gt;"", LOOKUP(D71,reqTable[Coresponding Page],reqTable[Priority]),"")</f>
        <v/>
      </c>
      <c r="F71" s="32"/>
      <c r="H71" s="32"/>
      <c r="I71" s="32"/>
      <c r="J71" s="32"/>
      <c r="K71" s="32"/>
      <c r="L71" s="32"/>
    </row>
    <row r="72" spans="2:12" x14ac:dyDescent="0.25">
      <c r="B72" s="32"/>
      <c r="C72" s="32" t="str">
        <f>IF(B72&lt;&gt;"", LOOKUP(B72,reqTable[Id],reqTable[Name]),"")</f>
        <v/>
      </c>
      <c r="D72" s="32" t="str">
        <f>IF(C72&lt;&gt;"", LOOKUP(C72,reqTable[Name],reqTable[Coresponding Page]),"")</f>
        <v/>
      </c>
      <c r="E72" s="32" t="str">
        <f>IF(D72&lt;&gt;"", LOOKUP(D72,reqTable[Coresponding Page],reqTable[Priority]),"")</f>
        <v/>
      </c>
      <c r="F72" s="32"/>
      <c r="H72" s="32"/>
      <c r="I72" s="32"/>
      <c r="J72" s="32"/>
      <c r="K72" s="32"/>
      <c r="L72" s="32"/>
    </row>
    <row r="73" spans="2:12" x14ac:dyDescent="0.25">
      <c r="B73" s="32"/>
      <c r="C73" s="32" t="str">
        <f>IF(B73&lt;&gt;"", LOOKUP(B73,reqTable[Id],reqTable[Name]),"")</f>
        <v/>
      </c>
      <c r="D73" s="32" t="str">
        <f>IF(C73&lt;&gt;"", LOOKUP(C73,reqTable[Name],reqTable[Coresponding Page]),"")</f>
        <v/>
      </c>
      <c r="E73" s="32" t="str">
        <f>IF(D73&lt;&gt;"", LOOKUP(D73,reqTable[Coresponding Page],reqTable[Priority]),"")</f>
        <v/>
      </c>
      <c r="F73" s="32"/>
      <c r="H73" s="32"/>
      <c r="I73" s="32"/>
      <c r="J73" s="32"/>
      <c r="K73" s="32"/>
      <c r="L73" s="32"/>
    </row>
    <row r="74" spans="2:12" x14ac:dyDescent="0.25">
      <c r="B74" s="32"/>
      <c r="C74" s="32" t="str">
        <f>IF(B74&lt;&gt;"", LOOKUP(B74,reqTable[Id],reqTable[Name]),"")</f>
        <v/>
      </c>
      <c r="D74" s="32" t="str">
        <f>IF(C74&lt;&gt;"", LOOKUP(C74,reqTable[Name],reqTable[Coresponding Page]),"")</f>
        <v/>
      </c>
      <c r="E74" s="32" t="str">
        <f>IF(D74&lt;&gt;"", LOOKUP(D74,reqTable[Coresponding Page],reqTable[Priority]),"")</f>
        <v/>
      </c>
      <c r="F74" s="32"/>
      <c r="H74" s="32"/>
      <c r="I74" s="32"/>
      <c r="J74" s="32"/>
      <c r="K74" s="32"/>
      <c r="L74" s="32"/>
    </row>
    <row r="75" spans="2:12" x14ac:dyDescent="0.25">
      <c r="B75" s="32"/>
      <c r="C75" s="32" t="str">
        <f>IF(B75&lt;&gt;"", LOOKUP(B75,reqTable[Id],reqTable[Name]),"")</f>
        <v/>
      </c>
      <c r="D75" s="32" t="str">
        <f>IF(C75&lt;&gt;"", LOOKUP(C75,reqTable[Name],reqTable[Coresponding Page]),"")</f>
        <v/>
      </c>
      <c r="E75" s="32" t="str">
        <f>IF(D75&lt;&gt;"", LOOKUP(D75,reqTable[Coresponding Page],reqTable[Priority]),"")</f>
        <v/>
      </c>
      <c r="F75" s="32"/>
      <c r="H75" s="32"/>
      <c r="I75" s="32"/>
      <c r="J75" s="32"/>
      <c r="K75" s="32"/>
      <c r="L75" s="32"/>
    </row>
    <row r="76" spans="2:12" x14ac:dyDescent="0.25">
      <c r="B76" s="32"/>
      <c r="C76" s="32" t="str">
        <f>IF(B76&lt;&gt;"", LOOKUP(B76,reqTable[Id],reqTable[Name]),"")</f>
        <v/>
      </c>
      <c r="D76" s="32" t="str">
        <f>IF(C76&lt;&gt;"", LOOKUP(C76,reqTable[Name],reqTable[Coresponding Page]),"")</f>
        <v/>
      </c>
      <c r="E76" s="32" t="str">
        <f>IF(D76&lt;&gt;"", LOOKUP(D76,reqTable[Coresponding Page],reqTable[Priority]),"")</f>
        <v/>
      </c>
      <c r="F76" s="32"/>
      <c r="H76" s="32"/>
      <c r="I76" s="32"/>
      <c r="J76" s="32"/>
      <c r="K76" s="32"/>
      <c r="L76" s="32"/>
    </row>
    <row r="77" spans="2:12" x14ac:dyDescent="0.25">
      <c r="B77" s="32"/>
      <c r="C77" s="32" t="str">
        <f>IF(B77&lt;&gt;"", LOOKUP(B77,reqTable[Id],reqTable[Name]),"")</f>
        <v/>
      </c>
      <c r="D77" s="32" t="str">
        <f>IF(C77&lt;&gt;"", LOOKUP(C77,reqTable[Name],reqTable[Coresponding Page]),"")</f>
        <v/>
      </c>
      <c r="E77" s="32" t="str">
        <f>IF(D77&lt;&gt;"", LOOKUP(D77,reqTable[Coresponding Page],reqTable[Priority]),"")</f>
        <v/>
      </c>
      <c r="F77" s="32"/>
      <c r="H77" s="32"/>
      <c r="I77" s="32"/>
      <c r="J77" s="32"/>
      <c r="K77" s="32"/>
      <c r="L77" s="32"/>
    </row>
    <row r="78" spans="2:12" x14ac:dyDescent="0.25">
      <c r="B78" s="32"/>
      <c r="C78" s="32" t="str">
        <f>IF(B78&lt;&gt;"", LOOKUP(B78,reqTable[Id],reqTable[Name]),"")</f>
        <v/>
      </c>
      <c r="D78" s="32" t="str">
        <f>IF(C78&lt;&gt;"", LOOKUP(C78,reqTable[Name],reqTable[Coresponding Page]),"")</f>
        <v/>
      </c>
      <c r="E78" s="32" t="str">
        <f>IF(D78&lt;&gt;"", LOOKUP(D78,reqTable[Coresponding Page],reqTable[Priority]),"")</f>
        <v/>
      </c>
      <c r="F78" s="32"/>
      <c r="H78" s="32"/>
      <c r="I78" s="32"/>
      <c r="J78" s="32"/>
      <c r="K78" s="32"/>
      <c r="L78" s="32"/>
    </row>
    <row r="79" spans="2:12" x14ac:dyDescent="0.25">
      <c r="B79" s="32"/>
      <c r="C79" s="32" t="str">
        <f>IF(B79&lt;&gt;"", LOOKUP(B79,reqTable[Id],reqTable[Name]),"")</f>
        <v/>
      </c>
      <c r="D79" s="32" t="str">
        <f>IF(C79&lt;&gt;"", LOOKUP(C79,reqTable[Name],reqTable[Coresponding Page]),"")</f>
        <v/>
      </c>
      <c r="E79" s="32" t="str">
        <f>IF(D79&lt;&gt;"", LOOKUP(D79,reqTable[Coresponding Page],reqTable[Priority]),"")</f>
        <v/>
      </c>
      <c r="F79" s="32"/>
      <c r="H79" s="32"/>
      <c r="I79" s="32"/>
      <c r="J79" s="32"/>
      <c r="K79" s="32"/>
      <c r="L79" s="32"/>
    </row>
    <row r="80" spans="2:12" x14ac:dyDescent="0.25">
      <c r="B80" s="32"/>
      <c r="C80" s="32" t="str">
        <f>IF(B80&lt;&gt;"", LOOKUP(B80,reqTable[Id],reqTable[Name]),"")</f>
        <v/>
      </c>
      <c r="D80" s="32" t="str">
        <f>IF(C80&lt;&gt;"", LOOKUP(C80,reqTable[Name],reqTable[Coresponding Page]),"")</f>
        <v/>
      </c>
      <c r="E80" s="32" t="str">
        <f>IF(D80&lt;&gt;"", LOOKUP(D80,reqTable[Coresponding Page],reqTable[Priority]),"")</f>
        <v/>
      </c>
      <c r="F80" s="32"/>
      <c r="H80" s="32"/>
      <c r="I80" s="32"/>
      <c r="J80" s="32"/>
      <c r="K80" s="32"/>
      <c r="L80" s="32"/>
    </row>
    <row r="81" spans="2:12" x14ac:dyDescent="0.25">
      <c r="B81" s="32"/>
      <c r="C81" s="32" t="str">
        <f>IF(B81&lt;&gt;"", LOOKUP(B81,reqTable[Id],reqTable[Name]),"")</f>
        <v/>
      </c>
      <c r="D81" s="32" t="str">
        <f>IF(C81&lt;&gt;"", LOOKUP(C81,reqTable[Name],reqTable[Coresponding Page]),"")</f>
        <v/>
      </c>
      <c r="E81" s="32" t="str">
        <f>IF(D81&lt;&gt;"", LOOKUP(D81,reqTable[Coresponding Page],reqTable[Priority]),"")</f>
        <v/>
      </c>
      <c r="F81" s="32"/>
      <c r="H81" s="32"/>
      <c r="I81" s="32"/>
      <c r="J81" s="32"/>
      <c r="K81" s="32"/>
      <c r="L81" s="32"/>
    </row>
    <row r="82" spans="2:12" x14ac:dyDescent="0.25">
      <c r="B82" s="32"/>
      <c r="C82" s="32" t="str">
        <f>IF(B82&lt;&gt;"", LOOKUP(B82,reqTable[Id],reqTable[Name]),"")</f>
        <v/>
      </c>
      <c r="D82" s="32" t="str">
        <f>IF(C82&lt;&gt;"", LOOKUP(C82,reqTable[Name],reqTable[Coresponding Page]),"")</f>
        <v/>
      </c>
      <c r="E82" s="32" t="str">
        <f>IF(D82&lt;&gt;"", LOOKUP(D82,reqTable[Coresponding Page],reqTable[Priority]),"")</f>
        <v/>
      </c>
      <c r="F82" s="32"/>
      <c r="H82" s="32"/>
      <c r="I82" s="32"/>
      <c r="J82" s="32"/>
      <c r="K82" s="32"/>
      <c r="L82" s="32"/>
    </row>
    <row r="83" spans="2:12" x14ac:dyDescent="0.25">
      <c r="B83" s="32"/>
      <c r="C83" s="32" t="str">
        <f>IF(B83&lt;&gt;"", LOOKUP(B83,reqTable[Id],reqTable[Name]),"")</f>
        <v/>
      </c>
      <c r="D83" s="32" t="str">
        <f>IF(C83&lt;&gt;"", LOOKUP(C83,reqTable[Name],reqTable[Coresponding Page]),"")</f>
        <v/>
      </c>
      <c r="E83" s="32" t="str">
        <f>IF(D83&lt;&gt;"", LOOKUP(D83,reqTable[Coresponding Page],reqTable[Priority]),"")</f>
        <v/>
      </c>
      <c r="F83" s="32"/>
      <c r="H83" s="32"/>
      <c r="I83" s="32"/>
      <c r="J83" s="32"/>
      <c r="K83" s="32"/>
      <c r="L83" s="32"/>
    </row>
    <row r="84" spans="2:12" x14ac:dyDescent="0.25">
      <c r="B84" s="32"/>
      <c r="C84" s="32" t="str">
        <f>IF(B84&lt;&gt;"", LOOKUP(B84,reqTable[Id],reqTable[Name]),"")</f>
        <v/>
      </c>
      <c r="D84" s="32" t="str">
        <f>IF(C84&lt;&gt;"", LOOKUP(C84,reqTable[Name],reqTable[Coresponding Page]),"")</f>
        <v/>
      </c>
      <c r="E84" s="32" t="str">
        <f>IF(D84&lt;&gt;"", LOOKUP(D84,reqTable[Coresponding Page],reqTable[Priority]),"")</f>
        <v/>
      </c>
      <c r="F84" s="32"/>
      <c r="H84" s="32"/>
      <c r="I84" s="32"/>
      <c r="J84" s="32"/>
      <c r="K84" s="32"/>
      <c r="L84" s="32"/>
    </row>
    <row r="85" spans="2:12" x14ac:dyDescent="0.25">
      <c r="B85" s="32"/>
      <c r="C85" s="32" t="str">
        <f>IF(B85&lt;&gt;"", LOOKUP(B85,reqTable[Id],reqTable[Name]),"")</f>
        <v/>
      </c>
      <c r="D85" s="32" t="str">
        <f>IF(C85&lt;&gt;"", LOOKUP(C85,reqTable[Name],reqTable[Coresponding Page]),"")</f>
        <v/>
      </c>
      <c r="E85" s="32" t="str">
        <f>IF(D85&lt;&gt;"", LOOKUP(D85,reqTable[Coresponding Page],reqTable[Priority]),"")</f>
        <v/>
      </c>
      <c r="F85" s="32"/>
      <c r="H85" s="32"/>
      <c r="I85" s="32"/>
      <c r="J85" s="32"/>
      <c r="K85" s="32"/>
      <c r="L85" s="32"/>
    </row>
    <row r="86" spans="2:12" x14ac:dyDescent="0.25">
      <c r="B86" s="32"/>
      <c r="C86" s="32" t="str">
        <f>IF(B86&lt;&gt;"", LOOKUP(B86,reqTable[Id],reqTable[Name]),"")</f>
        <v/>
      </c>
      <c r="D86" s="32" t="str">
        <f>IF(C86&lt;&gt;"", LOOKUP(C86,reqTable[Name],reqTable[Coresponding Page]),"")</f>
        <v/>
      </c>
      <c r="E86" s="32" t="str">
        <f>IF(D86&lt;&gt;"", LOOKUP(D86,reqTable[Coresponding Page],reqTable[Priority]),"")</f>
        <v/>
      </c>
      <c r="F86" s="32"/>
      <c r="H86" s="32"/>
      <c r="I86" s="32"/>
      <c r="J86" s="32"/>
      <c r="K86" s="32"/>
      <c r="L86" s="32"/>
    </row>
    <row r="87" spans="2:12" x14ac:dyDescent="0.25">
      <c r="B87" s="32"/>
      <c r="C87" s="32" t="str">
        <f>IF(B87&lt;&gt;"", LOOKUP(B87,reqTable[Id],reqTable[Name]),"")</f>
        <v/>
      </c>
      <c r="D87" s="32" t="str">
        <f>IF(C87&lt;&gt;"", LOOKUP(C87,reqTable[Name],reqTable[Coresponding Page]),"")</f>
        <v/>
      </c>
      <c r="E87" s="32" t="str">
        <f>IF(D87&lt;&gt;"", LOOKUP(D87,reqTable[Coresponding Page],reqTable[Priority]),"")</f>
        <v/>
      </c>
      <c r="F87" s="32"/>
      <c r="H87" s="32"/>
      <c r="I87" s="32"/>
      <c r="J87" s="32"/>
      <c r="K87" s="32"/>
      <c r="L87" s="32"/>
    </row>
    <row r="88" spans="2:12" x14ac:dyDescent="0.25">
      <c r="B88" s="32"/>
      <c r="C88" s="32" t="str">
        <f>IF(B88&lt;&gt;"", LOOKUP(B88,reqTable[Id],reqTable[Name]),"")</f>
        <v/>
      </c>
      <c r="D88" s="32" t="str">
        <f>IF(C88&lt;&gt;"", LOOKUP(C88,reqTable[Name],reqTable[Coresponding Page]),"")</f>
        <v/>
      </c>
      <c r="E88" s="32" t="str">
        <f>IF(D88&lt;&gt;"", LOOKUP(D88,reqTable[Coresponding Page],reqTable[Priority]),"")</f>
        <v/>
      </c>
      <c r="F88" s="32"/>
      <c r="H88" s="32"/>
      <c r="I88" s="32"/>
      <c r="J88" s="32"/>
      <c r="K88" s="32"/>
      <c r="L88" s="32"/>
    </row>
    <row r="89" spans="2:12" x14ac:dyDescent="0.25">
      <c r="B89" s="32"/>
      <c r="C89" s="32" t="str">
        <f>IF(B89&lt;&gt;"", LOOKUP(B89,reqTable[Id],reqTable[Name]),"")</f>
        <v/>
      </c>
      <c r="D89" s="32" t="str">
        <f>IF(C89&lt;&gt;"", LOOKUP(C89,reqTable[Name],reqTable[Coresponding Page]),"")</f>
        <v/>
      </c>
      <c r="E89" s="32" t="str">
        <f>IF(D89&lt;&gt;"", LOOKUP(D89,reqTable[Coresponding Page],reqTable[Priority]),"")</f>
        <v/>
      </c>
      <c r="F89" s="32"/>
      <c r="H89" s="32"/>
      <c r="I89" s="32"/>
      <c r="J89" s="32"/>
      <c r="K89" s="32"/>
      <c r="L89" s="32"/>
    </row>
    <row r="90" spans="2:12" x14ac:dyDescent="0.25">
      <c r="B90" s="32"/>
      <c r="C90" s="32" t="str">
        <f>IF(B90&lt;&gt;"", LOOKUP(B90,reqTable[Id],reqTable[Name]),"")</f>
        <v/>
      </c>
      <c r="D90" s="32" t="str">
        <f>IF(C90&lt;&gt;"", LOOKUP(C90,reqTable[Name],reqTable[Coresponding Page]),"")</f>
        <v/>
      </c>
      <c r="E90" s="32" t="str">
        <f>IF(D90&lt;&gt;"", LOOKUP(D90,reqTable[Coresponding Page],reqTable[Priority]),"")</f>
        <v/>
      </c>
      <c r="F90" s="32"/>
      <c r="H90" s="32"/>
      <c r="I90" s="32"/>
      <c r="J90" s="32"/>
      <c r="K90" s="32"/>
      <c r="L90" s="32"/>
    </row>
    <row r="91" spans="2:12" x14ac:dyDescent="0.25">
      <c r="B91" s="32"/>
      <c r="C91" s="32" t="str">
        <f>IF(B91&lt;&gt;"", LOOKUP(B91,reqTable[Id],reqTable[Name]),"")</f>
        <v/>
      </c>
      <c r="D91" s="32" t="str">
        <f>IF(C91&lt;&gt;"", LOOKUP(C91,reqTable[Name],reqTable[Coresponding Page]),"")</f>
        <v/>
      </c>
      <c r="E91" s="32" t="str">
        <f>IF(D91&lt;&gt;"", LOOKUP(D91,reqTable[Coresponding Page],reqTable[Priority]),"")</f>
        <v/>
      </c>
      <c r="F91" s="32"/>
      <c r="H91" s="32"/>
      <c r="I91" s="32"/>
      <c r="J91" s="32"/>
      <c r="K91" s="32"/>
      <c r="L91" s="32"/>
    </row>
    <row r="92" spans="2:12" x14ac:dyDescent="0.25">
      <c r="B92" s="32"/>
      <c r="C92" s="32" t="str">
        <f>IF(B92&lt;&gt;"", LOOKUP(B92,reqTable[Id],reqTable[Name]),"")</f>
        <v/>
      </c>
      <c r="D92" s="32" t="str">
        <f>IF(C92&lt;&gt;"", LOOKUP(C92,reqTable[Name],reqTable[Coresponding Page]),"")</f>
        <v/>
      </c>
      <c r="E92" s="32" t="str">
        <f>IF(D92&lt;&gt;"", LOOKUP(D92,reqTable[Coresponding Page],reqTable[Priority]),"")</f>
        <v/>
      </c>
      <c r="F92" s="32"/>
      <c r="H92" s="32"/>
      <c r="I92" s="32"/>
      <c r="J92" s="32"/>
      <c r="K92" s="32"/>
      <c r="L92" s="32"/>
    </row>
    <row r="93" spans="2:12" x14ac:dyDescent="0.25">
      <c r="B93" s="32"/>
      <c r="C93" s="32" t="str">
        <f>IF(B93&lt;&gt;"", LOOKUP(B93,reqTable[Id],reqTable[Name]),"")</f>
        <v/>
      </c>
      <c r="D93" s="32" t="str">
        <f>IF(C93&lt;&gt;"", LOOKUP(C93,reqTable[Name],reqTable[Coresponding Page]),"")</f>
        <v/>
      </c>
      <c r="E93" s="32" t="str">
        <f>IF(D93&lt;&gt;"", LOOKUP(D93,reqTable[Coresponding Page],reqTable[Priority]),"")</f>
        <v/>
      </c>
      <c r="F93" s="32"/>
      <c r="H93" s="32"/>
      <c r="I93" s="32"/>
      <c r="J93" s="32"/>
      <c r="K93" s="32"/>
      <c r="L93" s="32"/>
    </row>
    <row r="94" spans="2:12" x14ac:dyDescent="0.25">
      <c r="B94" s="32"/>
      <c r="C94" s="32" t="str">
        <f>IF(B94&lt;&gt;"", LOOKUP(B94,reqTable[Id],reqTable[Name]),"")</f>
        <v/>
      </c>
      <c r="D94" s="32" t="str">
        <f>IF(C94&lt;&gt;"", LOOKUP(C94,reqTable[Name],reqTable[Coresponding Page]),"")</f>
        <v/>
      </c>
      <c r="E94" s="32" t="str">
        <f>IF(D94&lt;&gt;"", LOOKUP(D94,reqTable[Coresponding Page],reqTable[Priority]),"")</f>
        <v/>
      </c>
      <c r="F94" s="32"/>
      <c r="H94" s="32"/>
      <c r="I94" s="32"/>
      <c r="J94" s="32"/>
      <c r="K94" s="32"/>
      <c r="L94" s="32"/>
    </row>
    <row r="95" spans="2:12" x14ac:dyDescent="0.25">
      <c r="B95" s="32"/>
      <c r="C95" s="32" t="str">
        <f>IF(B95&lt;&gt;"", LOOKUP(B95,reqTable[Id],reqTable[Name]),"")</f>
        <v/>
      </c>
      <c r="D95" s="32" t="str">
        <f>IF(C95&lt;&gt;"", LOOKUP(C95,reqTable[Name],reqTable[Coresponding Page]),"")</f>
        <v/>
      </c>
      <c r="E95" s="32" t="str">
        <f>IF(D95&lt;&gt;"", LOOKUP(D95,reqTable[Coresponding Page],reqTable[Priority]),"")</f>
        <v/>
      </c>
      <c r="F95" s="32"/>
      <c r="H95" s="32"/>
      <c r="I95" s="32"/>
      <c r="J95" s="32"/>
      <c r="K95" s="32"/>
      <c r="L95" s="32"/>
    </row>
    <row r="96" spans="2:12" x14ac:dyDescent="0.25">
      <c r="B96" s="32"/>
      <c r="C96" s="32" t="str">
        <f>IF(B96&lt;&gt;"", LOOKUP(B96,reqTable[Id],reqTable[Name]),"")</f>
        <v/>
      </c>
      <c r="D96" s="32" t="str">
        <f>IF(C96&lt;&gt;"", LOOKUP(C96,reqTable[Name],reqTable[Coresponding Page]),"")</f>
        <v/>
      </c>
      <c r="E96" s="32" t="str">
        <f>IF(D96&lt;&gt;"", LOOKUP(D96,reqTable[Coresponding Page],reqTable[Priority]),"")</f>
        <v/>
      </c>
      <c r="F96" s="32"/>
      <c r="H96" s="32"/>
      <c r="I96" s="32"/>
      <c r="J96" s="32"/>
      <c r="K96" s="32"/>
      <c r="L96" s="32"/>
    </row>
    <row r="97" spans="2:12" x14ac:dyDescent="0.25">
      <c r="B97" s="32"/>
      <c r="C97" s="32" t="str">
        <f>IF(B97&lt;&gt;"", LOOKUP(B97,reqTable[Id],reqTable[Name]),"")</f>
        <v/>
      </c>
      <c r="D97" s="32" t="str">
        <f>IF(C97&lt;&gt;"", LOOKUP(C97,reqTable[Name],reqTable[Coresponding Page]),"")</f>
        <v/>
      </c>
      <c r="E97" s="32" t="str">
        <f>IF(D97&lt;&gt;"", LOOKUP(D97,reqTable[Coresponding Page],reqTable[Priority]),"")</f>
        <v/>
      </c>
      <c r="F97" s="32"/>
      <c r="H97" s="32"/>
      <c r="I97" s="32"/>
      <c r="J97" s="32"/>
      <c r="K97" s="32"/>
      <c r="L97" s="32"/>
    </row>
    <row r="98" spans="2:12" x14ac:dyDescent="0.25">
      <c r="B98" s="32"/>
      <c r="C98" s="32" t="str">
        <f>IF(B98&lt;&gt;"", LOOKUP(B98,reqTable[Id],reqTable[Name]),"")</f>
        <v/>
      </c>
      <c r="D98" s="32" t="str">
        <f>IF(C98&lt;&gt;"", LOOKUP(C98,reqTable[Name],reqTable[Coresponding Page]),"")</f>
        <v/>
      </c>
      <c r="E98" s="32" t="str">
        <f>IF(D98&lt;&gt;"", LOOKUP(D98,reqTable[Coresponding Page],reqTable[Priority]),"")</f>
        <v/>
      </c>
      <c r="F98" s="32"/>
      <c r="H98" s="32"/>
      <c r="I98" s="32"/>
      <c r="J98" s="32"/>
      <c r="K98" s="32"/>
      <c r="L98" s="32"/>
    </row>
    <row r="99" spans="2:12" x14ac:dyDescent="0.25">
      <c r="B99" s="32"/>
      <c r="C99" s="32" t="str">
        <f>IF(B99&lt;&gt;"", LOOKUP(B99,reqTable[Id],reqTable[Name]),"")</f>
        <v/>
      </c>
      <c r="D99" s="32" t="str">
        <f>IF(C99&lt;&gt;"", LOOKUP(C99,reqTable[Name],reqTable[Coresponding Page]),"")</f>
        <v/>
      </c>
      <c r="E99" s="32" t="str">
        <f>IF(D99&lt;&gt;"", LOOKUP(D99,reqTable[Coresponding Page],reqTable[Priority]),"")</f>
        <v/>
      </c>
      <c r="F99" s="32"/>
      <c r="H99" s="32"/>
      <c r="I99" s="32"/>
      <c r="J99" s="32"/>
      <c r="K99" s="32"/>
      <c r="L99" s="32"/>
    </row>
    <row r="100" spans="2:12" x14ac:dyDescent="0.25">
      <c r="B100" s="32"/>
      <c r="C100" s="32" t="str">
        <f>IF(B100&lt;&gt;"", LOOKUP(B100,reqTable[Id],reqTable[Name]),"")</f>
        <v/>
      </c>
      <c r="D100" s="32" t="str">
        <f>IF(C100&lt;&gt;"", LOOKUP(C100,reqTable[Name],reqTable[Coresponding Page]),"")</f>
        <v/>
      </c>
      <c r="E100" s="32" t="str">
        <f>IF(D100&lt;&gt;"", LOOKUP(D100,reqTable[Coresponding Page],reqTable[Priority]),"")</f>
        <v/>
      </c>
      <c r="F100" s="32"/>
      <c r="H100" s="32"/>
      <c r="I100" s="32"/>
      <c r="J100" s="32"/>
      <c r="K100" s="32"/>
      <c r="L100" s="32"/>
    </row>
    <row r="101" spans="2:12" x14ac:dyDescent="0.25">
      <c r="B101" s="32"/>
      <c r="C101" s="32" t="str">
        <f>IF(B101&lt;&gt;"", LOOKUP(B101,reqTable[Id],reqTable[Name]),"")</f>
        <v/>
      </c>
      <c r="D101" s="32" t="str">
        <f>IF(C101&lt;&gt;"", LOOKUP(C101,reqTable[Name],reqTable[Coresponding Page]),"")</f>
        <v/>
      </c>
      <c r="E101" s="32" t="str">
        <f>IF(D101&lt;&gt;"", LOOKUP(D101,reqTable[Coresponding Page],reqTable[Priority]),"")</f>
        <v/>
      </c>
      <c r="F101" s="32"/>
      <c r="H101" s="32"/>
      <c r="I101" s="32"/>
      <c r="J101" s="32"/>
      <c r="K101" s="32"/>
      <c r="L101" s="32"/>
    </row>
    <row r="102" spans="2:12" x14ac:dyDescent="0.25">
      <c r="B102" s="32"/>
      <c r="C102" s="32" t="str">
        <f>IF(B102&lt;&gt;"", LOOKUP(B102,reqTable[Id],reqTable[Name]),"")</f>
        <v/>
      </c>
      <c r="D102" s="32" t="str">
        <f>IF(C102&lt;&gt;"", LOOKUP(C102,reqTable[Name],reqTable[Coresponding Page]),"")</f>
        <v/>
      </c>
      <c r="E102" s="32" t="str">
        <f>IF(D102&lt;&gt;"", LOOKUP(D102,reqTable[Coresponding Page],reqTable[Priority]),"")</f>
        <v/>
      </c>
      <c r="F102" s="32"/>
      <c r="H102" s="32"/>
      <c r="I102" s="32"/>
      <c r="J102" s="32"/>
      <c r="K102" s="32"/>
      <c r="L102" s="32"/>
    </row>
    <row r="103" spans="2:12" x14ac:dyDescent="0.25">
      <c r="B103" s="32"/>
      <c r="C103" s="32" t="str">
        <f>IF(B103&lt;&gt;"", LOOKUP(B103,reqTable[Id],reqTable[Name]),"")</f>
        <v/>
      </c>
      <c r="D103" s="32" t="str">
        <f>IF(C103&lt;&gt;"", LOOKUP(C103,reqTable[Name],reqTable[Coresponding Page]),"")</f>
        <v/>
      </c>
      <c r="E103" s="32" t="str">
        <f>IF(D103&lt;&gt;"", LOOKUP(D103,reqTable[Coresponding Page],reqTable[Priority]),"")</f>
        <v/>
      </c>
      <c r="F103" s="32"/>
      <c r="H103" s="32"/>
      <c r="I103" s="32"/>
      <c r="J103" s="32"/>
      <c r="K103" s="32"/>
      <c r="L103" s="32"/>
    </row>
    <row r="104" spans="2:12" x14ac:dyDescent="0.25">
      <c r="B104" s="32"/>
      <c r="C104" s="32" t="str">
        <f>IF(B104&lt;&gt;"", LOOKUP(B104,reqTable[Id],reqTable[Name]),"")</f>
        <v/>
      </c>
      <c r="D104" s="32" t="str">
        <f>IF(C104&lt;&gt;"", LOOKUP(C104,reqTable[Name],reqTable[Coresponding Page]),"")</f>
        <v/>
      </c>
      <c r="E104" s="32" t="str">
        <f>IF(D104&lt;&gt;"", LOOKUP(D104,reqTable[Coresponding Page],reqTable[Priority]),"")</f>
        <v/>
      </c>
      <c r="F104" s="32"/>
      <c r="H104" s="32"/>
      <c r="I104" s="32"/>
      <c r="J104" s="32"/>
      <c r="K104" s="32"/>
      <c r="L104" s="32"/>
    </row>
    <row r="105" spans="2:12" x14ac:dyDescent="0.25">
      <c r="B105" s="32"/>
      <c r="C105" s="32" t="str">
        <f>IF(B105&lt;&gt;"", LOOKUP(B105,reqTable[Id],reqTable[Name]),"")</f>
        <v/>
      </c>
      <c r="D105" s="32" t="str">
        <f>IF(C105&lt;&gt;"", LOOKUP(C105,reqTable[Name],reqTable[Coresponding Page]),"")</f>
        <v/>
      </c>
      <c r="E105" s="32" t="str">
        <f>IF(D105&lt;&gt;"", LOOKUP(D105,reqTable[Coresponding Page],reqTable[Priority]),"")</f>
        <v/>
      </c>
      <c r="F105" s="32"/>
      <c r="H105" s="32"/>
      <c r="I105" s="32"/>
      <c r="J105" s="32"/>
      <c r="K105" s="32"/>
      <c r="L105" s="32"/>
    </row>
    <row r="106" spans="2:12" x14ac:dyDescent="0.25">
      <c r="B106" s="32"/>
      <c r="C106" s="32" t="str">
        <f>IF(B106&lt;&gt;"", LOOKUP(B106,reqTable[Id],reqTable[Name]),"")</f>
        <v/>
      </c>
      <c r="D106" s="32" t="str">
        <f>IF(C106&lt;&gt;"", LOOKUP(C106,reqTable[Name],reqTable[Coresponding Page]),"")</f>
        <v/>
      </c>
      <c r="E106" s="32" t="str">
        <f>IF(D106&lt;&gt;"", LOOKUP(D106,reqTable[Coresponding Page],reqTable[Priority]),"")</f>
        <v/>
      </c>
      <c r="F106" s="32"/>
      <c r="H106" s="32"/>
      <c r="I106" s="32"/>
      <c r="J106" s="32"/>
      <c r="K106" s="32"/>
      <c r="L106" s="32"/>
    </row>
    <row r="107" spans="2:12" x14ac:dyDescent="0.25">
      <c r="B107" s="32"/>
      <c r="C107" s="32" t="str">
        <f>IF(B107&lt;&gt;"", LOOKUP(B107,reqTable[Id],reqTable[Name]),"")</f>
        <v/>
      </c>
      <c r="D107" s="32" t="str">
        <f>IF(C107&lt;&gt;"", LOOKUP(C107,reqTable[Name],reqTable[Coresponding Page]),"")</f>
        <v/>
      </c>
      <c r="E107" s="32" t="str">
        <f>IF(D107&lt;&gt;"", LOOKUP(D107,reqTable[Coresponding Page],reqTable[Priority]),"")</f>
        <v/>
      </c>
      <c r="F107" s="32"/>
      <c r="H107" s="32"/>
      <c r="I107" s="32"/>
      <c r="J107" s="32"/>
      <c r="K107" s="32"/>
      <c r="L107" s="32"/>
    </row>
    <row r="108" spans="2:12" x14ac:dyDescent="0.25">
      <c r="B108" s="32"/>
      <c r="C108" s="32" t="str">
        <f>IF(B108&lt;&gt;"", LOOKUP(B108,reqTable[Id],reqTable[Name]),"")</f>
        <v/>
      </c>
      <c r="D108" s="32" t="str">
        <f>IF(C108&lt;&gt;"", LOOKUP(C108,reqTable[Name],reqTable[Coresponding Page]),"")</f>
        <v/>
      </c>
      <c r="E108" s="32" t="str">
        <f>IF(D108&lt;&gt;"", LOOKUP(D108,reqTable[Coresponding Page],reqTable[Priority]),"")</f>
        <v/>
      </c>
      <c r="F108" s="32"/>
      <c r="H108" s="32"/>
      <c r="I108" s="32"/>
      <c r="J108" s="32"/>
      <c r="K108" s="32"/>
      <c r="L108" s="32"/>
    </row>
    <row r="109" spans="2:12" x14ac:dyDescent="0.25">
      <c r="B109" s="32"/>
      <c r="C109" s="32" t="str">
        <f>IF(B109&lt;&gt;"", LOOKUP(B109,reqTable[Id],reqTable[Name]),"")</f>
        <v/>
      </c>
      <c r="D109" s="32" t="str">
        <f>IF(C109&lt;&gt;"", LOOKUP(C109,reqTable[Name],reqTable[Coresponding Page]),"")</f>
        <v/>
      </c>
      <c r="E109" s="32" t="str">
        <f>IF(D109&lt;&gt;"", LOOKUP(D109,reqTable[Coresponding Page],reqTable[Priority]),"")</f>
        <v/>
      </c>
      <c r="F109" s="32"/>
      <c r="H109" s="32"/>
      <c r="I109" s="32"/>
      <c r="J109" s="32"/>
      <c r="K109" s="32"/>
      <c r="L109" s="32"/>
    </row>
    <row r="110" spans="2:12" x14ac:dyDescent="0.25">
      <c r="B110" s="32"/>
      <c r="C110" s="32" t="str">
        <f>IF(B110&lt;&gt;"", LOOKUP(B110,reqTable[Id],reqTable[Name]),"")</f>
        <v/>
      </c>
      <c r="D110" s="32" t="str">
        <f>IF(C110&lt;&gt;"", LOOKUP(C110,reqTable[Name],reqTable[Coresponding Page]),"")</f>
        <v/>
      </c>
      <c r="E110" s="32" t="str">
        <f>IF(D110&lt;&gt;"", LOOKUP(D110,reqTable[Coresponding Page],reqTable[Priority]),"")</f>
        <v/>
      </c>
      <c r="F110" s="32"/>
      <c r="H110" s="32"/>
      <c r="I110" s="32"/>
      <c r="J110" s="32"/>
      <c r="K110" s="32"/>
      <c r="L110" s="32"/>
    </row>
    <row r="111" spans="2:12" x14ac:dyDescent="0.25">
      <c r="B111" s="32"/>
      <c r="C111" s="32" t="str">
        <f>IF(B111&lt;&gt;"", LOOKUP(B111,reqTable[Id],reqTable[Name]),"")</f>
        <v/>
      </c>
      <c r="D111" s="32" t="str">
        <f>IF(C111&lt;&gt;"", LOOKUP(C111,reqTable[Name],reqTable[Coresponding Page]),"")</f>
        <v/>
      </c>
      <c r="E111" s="32" t="str">
        <f>IF(D111&lt;&gt;"", LOOKUP(D111,reqTable[Coresponding Page],reqTable[Priority]),"")</f>
        <v/>
      </c>
      <c r="F111" s="32"/>
      <c r="H111" s="32"/>
      <c r="I111" s="32"/>
      <c r="J111" s="32"/>
      <c r="K111" s="32"/>
      <c r="L111" s="32"/>
    </row>
    <row r="112" spans="2:12" x14ac:dyDescent="0.25">
      <c r="B112" s="32"/>
      <c r="C112" s="32" t="str">
        <f>IF(B112&lt;&gt;"", LOOKUP(B112,reqTable[Id],reqTable[Name]),"")</f>
        <v/>
      </c>
      <c r="D112" s="32" t="str">
        <f>IF(C112&lt;&gt;"", LOOKUP(C112,reqTable[Name],reqTable[Coresponding Page]),"")</f>
        <v/>
      </c>
      <c r="E112" s="32" t="str">
        <f>IF(D112&lt;&gt;"", LOOKUP(D112,reqTable[Coresponding Page],reqTable[Priority]),"")</f>
        <v/>
      </c>
      <c r="F112" s="32"/>
      <c r="H112" s="32"/>
      <c r="I112" s="32"/>
      <c r="J112" s="32"/>
      <c r="K112" s="32"/>
      <c r="L112" s="32"/>
    </row>
    <row r="113" spans="2:12" x14ac:dyDescent="0.25">
      <c r="B113" s="32"/>
      <c r="C113" s="32" t="str">
        <f>IF(B113&lt;&gt;"", LOOKUP(B113,reqTable[Id],reqTable[Name]),"")</f>
        <v/>
      </c>
      <c r="D113" s="32" t="str">
        <f>IF(C113&lt;&gt;"", LOOKUP(C113,reqTable[Name],reqTable[Coresponding Page]),"")</f>
        <v/>
      </c>
      <c r="E113" s="32" t="str">
        <f>IF(D113&lt;&gt;"", LOOKUP(D113,reqTable[Coresponding Page],reqTable[Priority]),"")</f>
        <v/>
      </c>
      <c r="F113" s="32"/>
      <c r="H113" s="32"/>
      <c r="I113" s="32"/>
      <c r="J113" s="32"/>
      <c r="K113" s="32"/>
      <c r="L113" s="32"/>
    </row>
    <row r="114" spans="2:12" x14ac:dyDescent="0.25">
      <c r="B114" s="32"/>
      <c r="C114" s="32" t="str">
        <f>IF(B114&lt;&gt;"", LOOKUP(B114,reqTable[Id],reqTable[Name]),"")</f>
        <v/>
      </c>
      <c r="D114" s="32" t="str">
        <f>IF(C114&lt;&gt;"", LOOKUP(C114,reqTable[Name],reqTable[Coresponding Page]),"")</f>
        <v/>
      </c>
      <c r="E114" s="32" t="str">
        <f>IF(D114&lt;&gt;"", LOOKUP(D114,reqTable[Coresponding Page],reqTable[Priority]),"")</f>
        <v/>
      </c>
      <c r="F114" s="32"/>
      <c r="H114" s="32"/>
      <c r="I114" s="32"/>
      <c r="J114" s="32"/>
      <c r="K114" s="32"/>
      <c r="L114" s="32"/>
    </row>
    <row r="115" spans="2:12" x14ac:dyDescent="0.25">
      <c r="B115" s="32"/>
      <c r="C115" s="32" t="str">
        <f>IF(B115&lt;&gt;"", LOOKUP(B115,reqTable[Id],reqTable[Name]),"")</f>
        <v/>
      </c>
      <c r="D115" s="32" t="str">
        <f>IF(C115&lt;&gt;"", LOOKUP(C115,reqTable[Name],reqTable[Coresponding Page]),"")</f>
        <v/>
      </c>
      <c r="E115" s="32" t="str">
        <f>IF(D115&lt;&gt;"", LOOKUP(D115,reqTable[Coresponding Page],reqTable[Priority]),"")</f>
        <v/>
      </c>
      <c r="F115" s="32"/>
      <c r="H115" s="32"/>
      <c r="I115" s="32"/>
      <c r="J115" s="32"/>
      <c r="K115" s="32"/>
      <c r="L115" s="32"/>
    </row>
    <row r="116" spans="2:12" x14ac:dyDescent="0.25">
      <c r="B116" s="32"/>
      <c r="C116" s="32" t="str">
        <f>IF(B116&lt;&gt;"", LOOKUP(B116,reqTable[Id],reqTable[Name]),"")</f>
        <v/>
      </c>
      <c r="D116" s="32" t="str">
        <f>IF(C116&lt;&gt;"", LOOKUP(C116,reqTable[Name],reqTable[Coresponding Page]),"")</f>
        <v/>
      </c>
      <c r="E116" s="32" t="str">
        <f>IF(D116&lt;&gt;"", LOOKUP(D116,reqTable[Coresponding Page],reqTable[Priority]),"")</f>
        <v/>
      </c>
      <c r="F116" s="32"/>
      <c r="H116" s="32"/>
      <c r="I116" s="32"/>
      <c r="J116" s="32"/>
      <c r="K116" s="32"/>
      <c r="L116" s="32"/>
    </row>
    <row r="117" spans="2:12" x14ac:dyDescent="0.25">
      <c r="B117" s="32"/>
      <c r="C117" s="32" t="str">
        <f>IF(B117&lt;&gt;"", LOOKUP(B117,reqTable[Id],reqTable[Name]),"")</f>
        <v/>
      </c>
      <c r="D117" s="32" t="str">
        <f>IF(C117&lt;&gt;"", LOOKUP(C117,reqTable[Name],reqTable[Coresponding Page]),"")</f>
        <v/>
      </c>
      <c r="E117" s="32" t="str">
        <f>IF(D117&lt;&gt;"", LOOKUP(D117,reqTable[Coresponding Page],reqTable[Priority]),"")</f>
        <v/>
      </c>
      <c r="F117" s="32"/>
      <c r="H117" s="32"/>
      <c r="I117" s="32"/>
      <c r="J117" s="32"/>
      <c r="K117" s="32"/>
      <c r="L117" s="32"/>
    </row>
    <row r="118" spans="2:12" x14ac:dyDescent="0.25">
      <c r="B118" s="32"/>
      <c r="C118" s="32" t="str">
        <f>IF(B118&lt;&gt;"", LOOKUP(B118,reqTable[Id],reqTable[Name]),"")</f>
        <v/>
      </c>
      <c r="D118" s="32" t="str">
        <f>IF(C118&lt;&gt;"", LOOKUP(C118,reqTable[Name],reqTable[Coresponding Page]),"")</f>
        <v/>
      </c>
      <c r="E118" s="32" t="str">
        <f>IF(D118&lt;&gt;"", LOOKUP(D118,reqTable[Coresponding Page],reqTable[Priority]),"")</f>
        <v/>
      </c>
      <c r="F118" s="32"/>
      <c r="H118" s="32"/>
      <c r="I118" s="32"/>
      <c r="J118" s="32"/>
      <c r="K118" s="32"/>
      <c r="L118" s="32"/>
    </row>
    <row r="119" spans="2:12" x14ac:dyDescent="0.25">
      <c r="B119" s="32"/>
      <c r="C119" s="32" t="str">
        <f>IF(B119&lt;&gt;"", LOOKUP(B119,reqTable[Id],reqTable[Name]),"")</f>
        <v/>
      </c>
      <c r="D119" s="32" t="str">
        <f>IF(C119&lt;&gt;"", LOOKUP(C119,reqTable[Name],reqTable[Coresponding Page]),"")</f>
        <v/>
      </c>
      <c r="E119" s="32" t="str">
        <f>IF(D119&lt;&gt;"", LOOKUP(D119,reqTable[Coresponding Page],reqTable[Priority]),"")</f>
        <v/>
      </c>
      <c r="F119" s="32"/>
      <c r="H119" s="32"/>
      <c r="I119" s="32"/>
      <c r="J119" s="32"/>
      <c r="K119" s="32"/>
      <c r="L119" s="32"/>
    </row>
    <row r="120" spans="2:12" x14ac:dyDescent="0.25">
      <c r="B120" s="32"/>
      <c r="C120" s="32" t="str">
        <f>IF(B120&lt;&gt;"", LOOKUP(B120,reqTable[Id],reqTable[Name]),"")</f>
        <v/>
      </c>
      <c r="D120" s="32" t="str">
        <f>IF(C120&lt;&gt;"", LOOKUP(C120,reqTable[Name],reqTable[Coresponding Page]),"")</f>
        <v/>
      </c>
      <c r="E120" s="32" t="str">
        <f>IF(D120&lt;&gt;"", LOOKUP(D120,reqTable[Coresponding Page],reqTable[Priority]),"")</f>
        <v/>
      </c>
      <c r="F120" s="32"/>
      <c r="H120" s="32"/>
      <c r="I120" s="32"/>
      <c r="J120" s="32"/>
      <c r="K120" s="32"/>
      <c r="L120" s="32"/>
    </row>
    <row r="121" spans="2:12" x14ac:dyDescent="0.25">
      <c r="B121" s="32"/>
      <c r="C121" s="32" t="str">
        <f>IF(B121&lt;&gt;"", LOOKUP(B121,reqTable[Id],reqTable[Name]),"")</f>
        <v/>
      </c>
      <c r="D121" s="32" t="str">
        <f>IF(C121&lt;&gt;"", LOOKUP(C121,reqTable[Name],reqTable[Coresponding Page]),"")</f>
        <v/>
      </c>
      <c r="E121" s="32" t="str">
        <f>IF(D121&lt;&gt;"", LOOKUP(D121,reqTable[Coresponding Page],reqTable[Priority]),"")</f>
        <v/>
      </c>
      <c r="F121" s="32"/>
      <c r="H121" s="32"/>
      <c r="I121" s="32"/>
      <c r="J121" s="32"/>
      <c r="K121" s="32"/>
      <c r="L121" s="32"/>
    </row>
    <row r="122" spans="2:12" x14ac:dyDescent="0.25">
      <c r="B122" s="32"/>
      <c r="C122" s="32" t="str">
        <f>IF(B122&lt;&gt;"", LOOKUP(B122,reqTable[Id],reqTable[Name]),"")</f>
        <v/>
      </c>
      <c r="D122" s="32" t="str">
        <f>IF(C122&lt;&gt;"", LOOKUP(C122,reqTable[Name],reqTable[Coresponding Page]),"")</f>
        <v/>
      </c>
      <c r="E122" s="32" t="str">
        <f>IF(D122&lt;&gt;"", LOOKUP(D122,reqTable[Coresponding Page],reqTable[Priority]),"")</f>
        <v/>
      </c>
      <c r="F122" s="32"/>
      <c r="H122" s="32"/>
      <c r="I122" s="32"/>
      <c r="J122" s="32"/>
      <c r="K122" s="32"/>
      <c r="L122" s="32"/>
    </row>
    <row r="123" spans="2:12" x14ac:dyDescent="0.25">
      <c r="B123" s="32"/>
      <c r="C123" s="32" t="str">
        <f>IF(B123&lt;&gt;"", LOOKUP(B123,reqTable[Id],reqTable[Name]),"")</f>
        <v/>
      </c>
      <c r="D123" s="32" t="str">
        <f>IF(C123&lt;&gt;"", LOOKUP(C123,reqTable[Name],reqTable[Coresponding Page]),"")</f>
        <v/>
      </c>
      <c r="E123" s="32" t="str">
        <f>IF(D123&lt;&gt;"", LOOKUP(D123,reqTable[Coresponding Page],reqTable[Priority]),"")</f>
        <v/>
      </c>
      <c r="F123" s="32"/>
      <c r="H123" s="32"/>
      <c r="I123" s="32"/>
      <c r="J123" s="32"/>
      <c r="K123" s="32"/>
      <c r="L123" s="32"/>
    </row>
    <row r="124" spans="2:12" x14ac:dyDescent="0.25">
      <c r="B124" s="32"/>
      <c r="C124" s="32" t="str">
        <f>IF(B124&lt;&gt;"", LOOKUP(B124,reqTable[Id],reqTable[Name]),"")</f>
        <v/>
      </c>
      <c r="D124" s="32" t="str">
        <f>IF(C124&lt;&gt;"", LOOKUP(C124,reqTable[Name],reqTable[Coresponding Page]),"")</f>
        <v/>
      </c>
      <c r="E124" s="32" t="str">
        <f>IF(D124&lt;&gt;"", LOOKUP(D124,reqTable[Coresponding Page],reqTable[Priority]),"")</f>
        <v/>
      </c>
      <c r="F124" s="32"/>
      <c r="H124" s="32"/>
      <c r="I124" s="32"/>
      <c r="J124" s="32"/>
      <c r="K124" s="32"/>
      <c r="L124" s="32"/>
    </row>
    <row r="125" spans="2:12" x14ac:dyDescent="0.25">
      <c r="B125" s="32"/>
      <c r="C125" s="32" t="str">
        <f>IF(B125&lt;&gt;"", LOOKUP(B125,reqTable[Id],reqTable[Name]),"")</f>
        <v/>
      </c>
      <c r="D125" s="32" t="str">
        <f>IF(C125&lt;&gt;"", LOOKUP(C125,reqTable[Name],reqTable[Coresponding Page]),"")</f>
        <v/>
      </c>
      <c r="E125" s="32" t="str">
        <f>IF(D125&lt;&gt;"", LOOKUP(D125,reqTable[Coresponding Page],reqTable[Priority]),"")</f>
        <v/>
      </c>
      <c r="F125" s="32"/>
      <c r="H125" s="32"/>
      <c r="I125" s="32"/>
      <c r="J125" s="32"/>
      <c r="K125" s="32"/>
      <c r="L125" s="32"/>
    </row>
    <row r="126" spans="2:12" x14ac:dyDescent="0.25">
      <c r="B126" s="32"/>
      <c r="C126" s="32" t="str">
        <f>IF(B126&lt;&gt;"", LOOKUP(B126,reqTable[Id],reqTable[Name]),"")</f>
        <v/>
      </c>
      <c r="D126" s="32" t="str">
        <f>IF(C126&lt;&gt;"", LOOKUP(C126,reqTable[Name],reqTable[Coresponding Page]),"")</f>
        <v/>
      </c>
      <c r="E126" s="32" t="str">
        <f>IF(D126&lt;&gt;"", LOOKUP(D126,reqTable[Coresponding Page],reqTable[Priority]),"")</f>
        <v/>
      </c>
      <c r="F126" s="32"/>
      <c r="H126" s="32"/>
      <c r="I126" s="32"/>
      <c r="J126" s="32"/>
      <c r="K126" s="32"/>
      <c r="L126" s="32"/>
    </row>
    <row r="127" spans="2:12" x14ac:dyDescent="0.25">
      <c r="B127" s="32"/>
      <c r="C127" s="32" t="str">
        <f>IF(B127&lt;&gt;"", LOOKUP(B127,reqTable[Id],reqTable[Name]),"")</f>
        <v/>
      </c>
      <c r="D127" s="32" t="str">
        <f>IF(C127&lt;&gt;"", LOOKUP(C127,reqTable[Name],reqTable[Coresponding Page]),"")</f>
        <v/>
      </c>
      <c r="E127" s="32" t="str">
        <f>IF(D127&lt;&gt;"", LOOKUP(D127,reqTable[Coresponding Page],reqTable[Priority]),"")</f>
        <v/>
      </c>
      <c r="F127" s="32"/>
      <c r="H127" s="32"/>
      <c r="I127" s="32"/>
      <c r="J127" s="32"/>
      <c r="K127" s="32"/>
      <c r="L127" s="32"/>
    </row>
    <row r="128" spans="2:12" x14ac:dyDescent="0.25">
      <c r="B128" s="32"/>
      <c r="C128" s="32" t="str">
        <f>IF(B128&lt;&gt;"", LOOKUP(B128,reqTable[Id],reqTable[Name]),"")</f>
        <v/>
      </c>
      <c r="D128" s="32" t="str">
        <f>IF(C128&lt;&gt;"", LOOKUP(C128,reqTable[Name],reqTable[Coresponding Page]),"")</f>
        <v/>
      </c>
      <c r="E128" s="32" t="str">
        <f>IF(D128&lt;&gt;"", LOOKUP(D128,reqTable[Coresponding Page],reqTable[Priority]),"")</f>
        <v/>
      </c>
      <c r="F128" s="32"/>
      <c r="H128" s="32"/>
      <c r="I128" s="32"/>
      <c r="J128" s="32"/>
      <c r="K128" s="32"/>
      <c r="L128" s="32"/>
    </row>
    <row r="129" spans="2:12" x14ac:dyDescent="0.25">
      <c r="B129" s="32"/>
      <c r="C129" s="32" t="str">
        <f>IF(B129&lt;&gt;"", LOOKUP(B129,reqTable[Id],reqTable[Name]),"")</f>
        <v/>
      </c>
      <c r="D129" s="32" t="str">
        <f>IF(C129&lt;&gt;"", LOOKUP(C129,reqTable[Name],reqTable[Coresponding Page]),"")</f>
        <v/>
      </c>
      <c r="E129" s="32" t="str">
        <f>IF(D129&lt;&gt;"", LOOKUP(D129,reqTable[Coresponding Page],reqTable[Priority]),"")</f>
        <v/>
      </c>
      <c r="F129" s="32"/>
      <c r="H129" s="32"/>
      <c r="I129" s="32"/>
      <c r="J129" s="32"/>
      <c r="K129" s="32"/>
      <c r="L129" s="32"/>
    </row>
    <row r="130" spans="2:12" x14ac:dyDescent="0.25">
      <c r="B130" s="32"/>
      <c r="C130" s="32" t="str">
        <f>IF(B130&lt;&gt;"", LOOKUP(B130,reqTable[Id],reqTable[Name]),"")</f>
        <v/>
      </c>
      <c r="D130" s="32" t="str">
        <f>IF(C130&lt;&gt;"", LOOKUP(C130,reqTable[Name],reqTable[Coresponding Page]),"")</f>
        <v/>
      </c>
      <c r="E130" s="32" t="str">
        <f>IF(D130&lt;&gt;"", LOOKUP(D130,reqTable[Coresponding Page],reqTable[Priority]),"")</f>
        <v/>
      </c>
      <c r="F130" s="32"/>
      <c r="H130" s="32"/>
      <c r="I130" s="32"/>
      <c r="J130" s="32"/>
      <c r="K130" s="32"/>
      <c r="L130" s="32"/>
    </row>
    <row r="131" spans="2:12" x14ac:dyDescent="0.25">
      <c r="B131" s="32"/>
      <c r="C131" s="32" t="str">
        <f>IF(B131&lt;&gt;"", LOOKUP(B131,reqTable[Id],reqTable[Name]),"")</f>
        <v/>
      </c>
      <c r="D131" s="32" t="str">
        <f>IF(C131&lt;&gt;"", LOOKUP(C131,reqTable[Name],reqTable[Coresponding Page]),"")</f>
        <v/>
      </c>
      <c r="E131" s="32" t="str">
        <f>IF(D131&lt;&gt;"", LOOKUP(D131,reqTable[Coresponding Page],reqTable[Priority]),"")</f>
        <v/>
      </c>
      <c r="F131" s="32"/>
      <c r="H131" s="32"/>
      <c r="I131" s="32"/>
      <c r="J131" s="32"/>
      <c r="K131" s="32"/>
      <c r="L131" s="32"/>
    </row>
    <row r="132" spans="2:12" x14ac:dyDescent="0.25">
      <c r="B132" s="32"/>
      <c r="C132" s="32" t="str">
        <f>IF(B132&lt;&gt;"", LOOKUP(B132,reqTable[Id],reqTable[Name]),"")</f>
        <v/>
      </c>
      <c r="D132" s="32" t="str">
        <f>IF(C132&lt;&gt;"", LOOKUP(C132,reqTable[Name],reqTable[Coresponding Page]),"")</f>
        <v/>
      </c>
      <c r="E132" s="32" t="str">
        <f>IF(D132&lt;&gt;"", LOOKUP(D132,reqTable[Coresponding Page],reqTable[Priority]),"")</f>
        <v/>
      </c>
      <c r="F132" s="32"/>
      <c r="H132" s="32"/>
      <c r="I132" s="32"/>
      <c r="J132" s="32"/>
      <c r="K132" s="32"/>
      <c r="L132" s="32"/>
    </row>
    <row r="133" spans="2:12" x14ac:dyDescent="0.25">
      <c r="B133" s="32"/>
      <c r="C133" s="32" t="str">
        <f>IF(B133&lt;&gt;"", LOOKUP(B133,reqTable[Id],reqTable[Name]),"")</f>
        <v/>
      </c>
      <c r="D133" s="32" t="str">
        <f>IF(C133&lt;&gt;"", LOOKUP(C133,reqTable[Name],reqTable[Coresponding Page]),"")</f>
        <v/>
      </c>
      <c r="E133" s="32" t="str">
        <f>IF(D133&lt;&gt;"", LOOKUP(D133,reqTable[Coresponding Page],reqTable[Priority]),"")</f>
        <v/>
      </c>
      <c r="F133" s="32"/>
      <c r="H133" s="32"/>
      <c r="I133" s="32"/>
      <c r="J133" s="32"/>
      <c r="K133" s="32"/>
      <c r="L133" s="32"/>
    </row>
    <row r="134" spans="2:12" x14ac:dyDescent="0.25">
      <c r="B134" s="32"/>
      <c r="C134" s="32" t="str">
        <f>IF(B134&lt;&gt;"", LOOKUP(B134,reqTable[Id],reqTable[Name]),"")</f>
        <v/>
      </c>
      <c r="D134" s="32" t="str">
        <f>IF(C134&lt;&gt;"", LOOKUP(C134,reqTable[Name],reqTable[Coresponding Page]),"")</f>
        <v/>
      </c>
      <c r="E134" s="32" t="str">
        <f>IF(D134&lt;&gt;"", LOOKUP(D134,reqTable[Coresponding Page],reqTable[Priority]),"")</f>
        <v/>
      </c>
      <c r="F134" s="32"/>
      <c r="H134" s="32"/>
      <c r="I134" s="32"/>
      <c r="J134" s="32"/>
      <c r="K134" s="32"/>
      <c r="L134" s="32"/>
    </row>
    <row r="135" spans="2:12" x14ac:dyDescent="0.25">
      <c r="B135" s="32"/>
      <c r="C135" s="32" t="str">
        <f>IF(B135&lt;&gt;"", LOOKUP(B135,reqTable[Id],reqTable[Name]),"")</f>
        <v/>
      </c>
      <c r="D135" s="32" t="str">
        <f>IF(C135&lt;&gt;"", LOOKUP(C135,reqTable[Name],reqTable[Coresponding Page]),"")</f>
        <v/>
      </c>
      <c r="E135" s="32" t="str">
        <f>IF(D135&lt;&gt;"", LOOKUP(D135,reqTable[Coresponding Page],reqTable[Priority]),"")</f>
        <v/>
      </c>
      <c r="F135" s="32"/>
      <c r="H135" s="32"/>
      <c r="I135" s="32"/>
      <c r="J135" s="32"/>
      <c r="K135" s="32"/>
      <c r="L135" s="32"/>
    </row>
    <row r="136" spans="2:12" x14ac:dyDescent="0.25">
      <c r="B136" s="32"/>
      <c r="C136" s="32" t="str">
        <f>IF(B136&lt;&gt;"", LOOKUP(B136,reqTable[Id],reqTable[Name]),"")</f>
        <v/>
      </c>
      <c r="D136" s="32" t="str">
        <f>IF(C136&lt;&gt;"", LOOKUP(C136,reqTable[Name],reqTable[Coresponding Page]),"")</f>
        <v/>
      </c>
      <c r="E136" s="32" t="str">
        <f>IF(D136&lt;&gt;"", LOOKUP(D136,reqTable[Coresponding Page],reqTable[Priority]),"")</f>
        <v/>
      </c>
      <c r="F136" s="32"/>
      <c r="H136" s="32"/>
      <c r="I136" s="32"/>
      <c r="J136" s="32"/>
      <c r="K136" s="32"/>
      <c r="L136" s="32"/>
    </row>
    <row r="137" spans="2:12" x14ac:dyDescent="0.25">
      <c r="B137" s="32"/>
      <c r="C137" s="32" t="str">
        <f>IF(B137&lt;&gt;"", LOOKUP(B137,reqTable[Id],reqTable[Name]),"")</f>
        <v/>
      </c>
      <c r="D137" s="32" t="str">
        <f>IF(C137&lt;&gt;"", LOOKUP(C137,reqTable[Name],reqTable[Coresponding Page]),"")</f>
        <v/>
      </c>
      <c r="E137" s="32" t="str">
        <f>IF(D137&lt;&gt;"", LOOKUP(D137,reqTable[Coresponding Page],reqTable[Priority]),"")</f>
        <v/>
      </c>
      <c r="F137" s="32"/>
      <c r="H137" s="32"/>
      <c r="I137" s="32"/>
      <c r="J137" s="32"/>
      <c r="K137" s="32"/>
      <c r="L137" s="32"/>
    </row>
    <row r="138" spans="2:12" x14ac:dyDescent="0.25">
      <c r="B138" s="32"/>
      <c r="C138" s="32" t="str">
        <f>IF(B138&lt;&gt;"", LOOKUP(B138,reqTable[Id],reqTable[Name]),"")</f>
        <v/>
      </c>
      <c r="D138" s="32" t="str">
        <f>IF(C138&lt;&gt;"", LOOKUP(C138,reqTable[Name],reqTable[Coresponding Page]),"")</f>
        <v/>
      </c>
      <c r="E138" s="32" t="str">
        <f>IF(D138&lt;&gt;"", LOOKUP(D138,reqTable[Coresponding Page],reqTable[Priority]),"")</f>
        <v/>
      </c>
      <c r="F138" s="32"/>
      <c r="H138" s="32"/>
      <c r="I138" s="32"/>
      <c r="J138" s="32"/>
      <c r="K138" s="32"/>
      <c r="L138" s="32"/>
    </row>
    <row r="139" spans="2:12" x14ac:dyDescent="0.25">
      <c r="B139" s="32"/>
      <c r="C139" s="32" t="str">
        <f>IF(B139&lt;&gt;"", LOOKUP(B139,reqTable[Id],reqTable[Name]),"")</f>
        <v/>
      </c>
      <c r="D139" s="32" t="str">
        <f>IF(C139&lt;&gt;"", LOOKUP(C139,reqTable[Name],reqTable[Coresponding Page]),"")</f>
        <v/>
      </c>
      <c r="E139" s="32" t="str">
        <f>IF(D139&lt;&gt;"", LOOKUP(D139,reqTable[Coresponding Page],reqTable[Priority]),"")</f>
        <v/>
      </c>
      <c r="F139" s="32"/>
      <c r="H139" s="32"/>
      <c r="I139" s="32"/>
      <c r="J139" s="32"/>
      <c r="K139" s="32"/>
      <c r="L139" s="32"/>
    </row>
    <row r="140" spans="2:12" x14ac:dyDescent="0.25">
      <c r="B140" s="32"/>
      <c r="C140" s="32" t="str">
        <f>IF(B140&lt;&gt;"", LOOKUP(B140,reqTable[Id],reqTable[Name]),"")</f>
        <v/>
      </c>
      <c r="D140" s="32" t="str">
        <f>IF(C140&lt;&gt;"", LOOKUP(C140,reqTable[Name],reqTable[Coresponding Page]),"")</f>
        <v/>
      </c>
      <c r="E140" s="32" t="str">
        <f>IF(D140&lt;&gt;"", LOOKUP(D140,reqTable[Coresponding Page],reqTable[Priority]),"")</f>
        <v/>
      </c>
      <c r="F140" s="32"/>
      <c r="H140" s="32"/>
      <c r="I140" s="32"/>
      <c r="J140" s="32"/>
      <c r="K140" s="32"/>
      <c r="L140" s="32"/>
    </row>
    <row r="141" spans="2:12" x14ac:dyDescent="0.25">
      <c r="B141" s="32"/>
      <c r="C141" s="32" t="str">
        <f>IF(B141&lt;&gt;"", LOOKUP(B141,reqTable[Id],reqTable[Name]),"")</f>
        <v/>
      </c>
      <c r="D141" s="32" t="str">
        <f>IF(C141&lt;&gt;"", LOOKUP(C141,reqTable[Name],reqTable[Coresponding Page]),"")</f>
        <v/>
      </c>
      <c r="E141" s="32" t="str">
        <f>IF(D141&lt;&gt;"", LOOKUP(D141,reqTable[Coresponding Page],reqTable[Priority]),"")</f>
        <v/>
      </c>
      <c r="F141" s="32"/>
      <c r="H141" s="32"/>
      <c r="I141" s="32"/>
      <c r="J141" s="32"/>
      <c r="K141" s="32"/>
      <c r="L141" s="32"/>
    </row>
    <row r="142" spans="2:12" x14ac:dyDescent="0.25">
      <c r="B142" s="32"/>
      <c r="C142" s="32" t="str">
        <f>IF(B142&lt;&gt;"", LOOKUP(B142,reqTable[Id],reqTable[Name]),"")</f>
        <v/>
      </c>
      <c r="D142" s="32" t="str">
        <f>IF(C142&lt;&gt;"", LOOKUP(C142,reqTable[Name],reqTable[Coresponding Page]),"")</f>
        <v/>
      </c>
      <c r="E142" s="32" t="str">
        <f>IF(D142&lt;&gt;"", LOOKUP(D142,reqTable[Coresponding Page],reqTable[Priority]),"")</f>
        <v/>
      </c>
      <c r="F142" s="32"/>
      <c r="H142" s="32"/>
      <c r="I142" s="32"/>
      <c r="J142" s="32"/>
      <c r="K142" s="32"/>
      <c r="L142" s="32"/>
    </row>
    <row r="143" spans="2:12" x14ac:dyDescent="0.25">
      <c r="B143" s="32"/>
      <c r="C143" s="32" t="str">
        <f>IF(B143&lt;&gt;"", LOOKUP(B143,reqTable[Id],reqTable[Name]),"")</f>
        <v/>
      </c>
      <c r="D143" s="32" t="str">
        <f>IF(C143&lt;&gt;"", LOOKUP(C143,reqTable[Name],reqTable[Coresponding Page]),"")</f>
        <v/>
      </c>
      <c r="E143" s="32" t="str">
        <f>IF(D143&lt;&gt;"", LOOKUP(D143,reqTable[Coresponding Page],reqTable[Priority]),"")</f>
        <v/>
      </c>
      <c r="F143" s="32"/>
      <c r="H143" s="32"/>
      <c r="I143" s="32"/>
      <c r="J143" s="32"/>
      <c r="K143" s="32"/>
      <c r="L143" s="32"/>
    </row>
    <row r="144" spans="2:12" x14ac:dyDescent="0.25">
      <c r="B144" s="32"/>
      <c r="C144" s="32" t="str">
        <f>IF(B144&lt;&gt;"", LOOKUP(B144,reqTable[Id],reqTable[Name]),"")</f>
        <v/>
      </c>
      <c r="D144" s="32" t="str">
        <f>IF(C144&lt;&gt;"", LOOKUP(C144,reqTable[Name],reqTable[Coresponding Page]),"")</f>
        <v/>
      </c>
      <c r="E144" s="32" t="str">
        <f>IF(D144&lt;&gt;"", LOOKUP(D144,reqTable[Coresponding Page],reqTable[Priority]),"")</f>
        <v/>
      </c>
      <c r="F144" s="32"/>
      <c r="H144" s="32"/>
      <c r="I144" s="32"/>
      <c r="J144" s="32"/>
      <c r="K144" s="32"/>
      <c r="L144" s="32"/>
    </row>
    <row r="145" spans="2:12" x14ac:dyDescent="0.25">
      <c r="B145" s="32"/>
      <c r="C145" s="32" t="str">
        <f>IF(B145&lt;&gt;"", LOOKUP(B145,reqTable[Id],reqTable[Name]),"")</f>
        <v/>
      </c>
      <c r="D145" s="32" t="str">
        <f>IF(C145&lt;&gt;"", LOOKUP(C145,reqTable[Name],reqTable[Coresponding Page]),"")</f>
        <v/>
      </c>
      <c r="E145" s="32" t="str">
        <f>IF(D145&lt;&gt;"", LOOKUP(D145,reqTable[Coresponding Page],reqTable[Priority]),"")</f>
        <v/>
      </c>
      <c r="F145" s="32"/>
      <c r="H145" s="32"/>
      <c r="I145" s="32"/>
      <c r="J145" s="32"/>
      <c r="K145" s="32"/>
      <c r="L145" s="32"/>
    </row>
    <row r="146" spans="2:12" x14ac:dyDescent="0.25">
      <c r="B146" s="32"/>
      <c r="C146" s="32" t="str">
        <f>IF(B146&lt;&gt;"", LOOKUP(B146,reqTable[Id],reqTable[Name]),"")</f>
        <v/>
      </c>
      <c r="D146" s="32" t="str">
        <f>IF(C146&lt;&gt;"", LOOKUP(C146,reqTable[Name],reqTable[Coresponding Page]),"")</f>
        <v/>
      </c>
      <c r="E146" s="32" t="str">
        <f>IF(D146&lt;&gt;"", LOOKUP(D146,reqTable[Coresponding Page],reqTable[Priority]),"")</f>
        <v/>
      </c>
      <c r="F146" s="32"/>
      <c r="H146" s="32"/>
      <c r="I146" s="32"/>
      <c r="J146" s="32"/>
      <c r="K146" s="32"/>
      <c r="L146" s="32"/>
    </row>
    <row r="147" spans="2:12" x14ac:dyDescent="0.25">
      <c r="B147" s="32"/>
      <c r="C147" s="32" t="str">
        <f>IF(B147&lt;&gt;"", LOOKUP(B147,reqTable[Id],reqTable[Name]),"")</f>
        <v/>
      </c>
      <c r="D147" s="32" t="str">
        <f>IF(C147&lt;&gt;"", LOOKUP(C147,reqTable[Name],reqTable[Coresponding Page]),"")</f>
        <v/>
      </c>
      <c r="E147" s="32" t="str">
        <f>IF(D147&lt;&gt;"", LOOKUP(D147,reqTable[Coresponding Page],reqTable[Priority]),"")</f>
        <v/>
      </c>
      <c r="F147" s="32"/>
      <c r="H147" s="32"/>
      <c r="I147" s="32"/>
      <c r="J147" s="32"/>
      <c r="K147" s="32"/>
      <c r="L147" s="32"/>
    </row>
    <row r="148" spans="2:12" x14ac:dyDescent="0.25">
      <c r="B148" s="32"/>
      <c r="C148" s="32" t="str">
        <f>IF(B148&lt;&gt;"", LOOKUP(B148,reqTable[Id],reqTable[Name]),"")</f>
        <v/>
      </c>
      <c r="D148" s="32" t="str">
        <f>IF(C148&lt;&gt;"", LOOKUP(C148,reqTable[Name],reqTable[Coresponding Page]),"")</f>
        <v/>
      </c>
      <c r="E148" s="32" t="str">
        <f>IF(D148&lt;&gt;"", LOOKUP(D148,reqTable[Coresponding Page],reqTable[Priority]),"")</f>
        <v/>
      </c>
      <c r="F148" s="32"/>
      <c r="H148" s="32"/>
      <c r="I148" s="32"/>
      <c r="J148" s="32"/>
      <c r="K148" s="32"/>
      <c r="L148" s="32"/>
    </row>
    <row r="149" spans="2:12" x14ac:dyDescent="0.25">
      <c r="B149" s="32"/>
      <c r="C149" s="32" t="str">
        <f>IF(B149&lt;&gt;"", LOOKUP(B149,reqTable[Id],reqTable[Name]),"")</f>
        <v/>
      </c>
      <c r="D149" s="32" t="str">
        <f>IF(C149&lt;&gt;"", LOOKUP(C149,reqTable[Name],reqTable[Coresponding Page]),"")</f>
        <v/>
      </c>
      <c r="E149" s="32" t="str">
        <f>IF(D149&lt;&gt;"", LOOKUP(D149,reqTable[Coresponding Page],reqTable[Priority]),"")</f>
        <v/>
      </c>
      <c r="F149" s="32"/>
      <c r="H149" s="32"/>
      <c r="I149" s="32"/>
      <c r="J149" s="32"/>
      <c r="K149" s="32"/>
      <c r="L149" s="32"/>
    </row>
    <row r="150" spans="2:12" x14ac:dyDescent="0.25">
      <c r="B150" s="32"/>
      <c r="C150" s="32" t="str">
        <f>IF(B150&lt;&gt;"", LOOKUP(B150,reqTable[Id],reqTable[Name]),"")</f>
        <v/>
      </c>
      <c r="D150" s="32" t="str">
        <f>IF(C150&lt;&gt;"", LOOKUP(C150,reqTable[Name],reqTable[Coresponding Page]),"")</f>
        <v/>
      </c>
      <c r="E150" s="32" t="str">
        <f>IF(D150&lt;&gt;"", LOOKUP(D150,reqTable[Coresponding Page],reqTable[Priority]),"")</f>
        <v/>
      </c>
      <c r="F150" s="32"/>
      <c r="H150" s="32"/>
      <c r="I150" s="32"/>
      <c r="J150" s="32"/>
      <c r="K150" s="32"/>
      <c r="L150" s="32"/>
    </row>
    <row r="151" spans="2:12" x14ac:dyDescent="0.25">
      <c r="B151" s="32"/>
      <c r="C151" s="32" t="str">
        <f>IF(B151&lt;&gt;"", LOOKUP(B151,reqTable[Id],reqTable[Name]),"")</f>
        <v/>
      </c>
      <c r="D151" s="32" t="str">
        <f>IF(C151&lt;&gt;"", LOOKUP(C151,reqTable[Name],reqTable[Coresponding Page]),"")</f>
        <v/>
      </c>
      <c r="E151" s="32" t="str">
        <f>IF(D151&lt;&gt;"", LOOKUP(D151,reqTable[Coresponding Page],reqTable[Priority]),"")</f>
        <v/>
      </c>
      <c r="F151" s="32"/>
      <c r="H151" s="32"/>
      <c r="I151" s="32"/>
      <c r="J151" s="32"/>
      <c r="K151" s="32"/>
      <c r="L151" s="32"/>
    </row>
    <row r="152" spans="2:12" x14ac:dyDescent="0.25">
      <c r="B152" s="32"/>
      <c r="C152" s="32" t="str">
        <f>IF(B152&lt;&gt;"", LOOKUP(B152,reqTable[Id],reqTable[Name]),"")</f>
        <v/>
      </c>
      <c r="D152" s="32" t="str">
        <f>IF(C152&lt;&gt;"", LOOKUP(C152,reqTable[Name],reqTable[Coresponding Page]),"")</f>
        <v/>
      </c>
      <c r="E152" s="32" t="str">
        <f>IF(D152&lt;&gt;"", LOOKUP(D152,reqTable[Coresponding Page],reqTable[Priority]),"")</f>
        <v/>
      </c>
      <c r="F152" s="32"/>
      <c r="H152" s="32"/>
      <c r="I152" s="32"/>
      <c r="J152" s="32"/>
      <c r="K152" s="32"/>
      <c r="L152" s="32"/>
    </row>
    <row r="153" spans="2:12" x14ac:dyDescent="0.25">
      <c r="B153" s="32"/>
      <c r="C153" s="32" t="str">
        <f>IF(B153&lt;&gt;"", LOOKUP(B153,reqTable[Id],reqTable[Name]),"")</f>
        <v/>
      </c>
      <c r="D153" s="32" t="str">
        <f>IF(C153&lt;&gt;"", LOOKUP(C153,reqTable[Name],reqTable[Coresponding Page]),"")</f>
        <v/>
      </c>
      <c r="E153" s="32" t="str">
        <f>IF(D153&lt;&gt;"", LOOKUP(D153,reqTable[Coresponding Page],reqTable[Priority]),"")</f>
        <v/>
      </c>
      <c r="F153" s="32"/>
      <c r="H153" s="32"/>
      <c r="I153" s="32"/>
      <c r="J153" s="32"/>
      <c r="K153" s="32"/>
      <c r="L153" s="32"/>
    </row>
    <row r="154" spans="2:12" x14ac:dyDescent="0.25">
      <c r="B154" s="32"/>
      <c r="C154" s="32" t="str">
        <f>IF(B154&lt;&gt;"", LOOKUP(B154,reqTable[Id],reqTable[Name]),"")</f>
        <v/>
      </c>
      <c r="D154" s="32" t="str">
        <f>IF(C154&lt;&gt;"", LOOKUP(C154,reqTable[Name],reqTable[Coresponding Page]),"")</f>
        <v/>
      </c>
      <c r="E154" s="32" t="str">
        <f>IF(D154&lt;&gt;"", LOOKUP(D154,reqTable[Coresponding Page],reqTable[Priority]),"")</f>
        <v/>
      </c>
      <c r="F154" s="32"/>
      <c r="H154" s="32"/>
      <c r="I154" s="32"/>
      <c r="J154" s="32"/>
      <c r="K154" s="32"/>
      <c r="L154" s="32"/>
    </row>
    <row r="155" spans="2:12" x14ac:dyDescent="0.25">
      <c r="B155" s="32"/>
      <c r="C155" s="32" t="str">
        <f>IF(B155&lt;&gt;"", LOOKUP(B155,reqTable[Id],reqTable[Name]),"")</f>
        <v/>
      </c>
      <c r="D155" s="32" t="str">
        <f>IF(C155&lt;&gt;"", LOOKUP(C155,reqTable[Name],reqTable[Coresponding Page]),"")</f>
        <v/>
      </c>
      <c r="E155" s="32" t="str">
        <f>IF(D155&lt;&gt;"", LOOKUP(D155,reqTable[Coresponding Page],reqTable[Priority]),"")</f>
        <v/>
      </c>
      <c r="F155" s="32"/>
      <c r="H155" s="32"/>
      <c r="I155" s="32"/>
      <c r="J155" s="32"/>
      <c r="K155" s="32"/>
      <c r="L155" s="32"/>
    </row>
    <row r="156" spans="2:12" x14ac:dyDescent="0.25">
      <c r="B156" s="32"/>
      <c r="C156" s="32" t="str">
        <f>IF(B156&lt;&gt;"", LOOKUP(B156,reqTable[Id],reqTable[Name]),"")</f>
        <v/>
      </c>
      <c r="D156" s="32" t="str">
        <f>IF(C156&lt;&gt;"", LOOKUP(C156,reqTable[Name],reqTable[Coresponding Page]),"")</f>
        <v/>
      </c>
      <c r="E156" s="32" t="str">
        <f>IF(D156&lt;&gt;"", LOOKUP(D156,reqTable[Coresponding Page],reqTable[Priority]),"")</f>
        <v/>
      </c>
      <c r="F156" s="32"/>
      <c r="H156" s="32"/>
      <c r="I156" s="32"/>
      <c r="J156" s="32"/>
      <c r="K156" s="32"/>
      <c r="L156" s="32"/>
    </row>
    <row r="157" spans="2:12" x14ac:dyDescent="0.25">
      <c r="B157" s="32"/>
      <c r="C157" s="32" t="str">
        <f>IF(B157&lt;&gt;"", LOOKUP(B157,reqTable[Id],reqTable[Name]),"")</f>
        <v/>
      </c>
      <c r="D157" s="32" t="str">
        <f>IF(C157&lt;&gt;"", LOOKUP(C157,reqTable[Name],reqTable[Coresponding Page]),"")</f>
        <v/>
      </c>
      <c r="E157" s="32" t="str">
        <f>IF(D157&lt;&gt;"", LOOKUP(D157,reqTable[Coresponding Page],reqTable[Priority]),"")</f>
        <v/>
      </c>
      <c r="F157" s="32"/>
      <c r="H157" s="32"/>
      <c r="I157" s="32"/>
      <c r="J157" s="32"/>
      <c r="K157" s="32"/>
      <c r="L157" s="32"/>
    </row>
    <row r="158" spans="2:12" x14ac:dyDescent="0.25">
      <c r="B158" s="32"/>
      <c r="C158" s="32" t="str">
        <f>IF(B158&lt;&gt;"", LOOKUP(B158,reqTable[Id],reqTable[Name]),"")</f>
        <v/>
      </c>
      <c r="D158" s="32" t="str">
        <f>IF(C158&lt;&gt;"", LOOKUP(C158,reqTable[Name],reqTable[Coresponding Page]),"")</f>
        <v/>
      </c>
      <c r="E158" s="32" t="str">
        <f>IF(D158&lt;&gt;"", LOOKUP(D158,reqTable[Coresponding Page],reqTable[Priority]),"")</f>
        <v/>
      </c>
      <c r="F158" s="32"/>
      <c r="H158" s="32"/>
      <c r="I158" s="32"/>
      <c r="J158" s="32"/>
      <c r="K158" s="32"/>
      <c r="L158" s="32"/>
    </row>
    <row r="159" spans="2:12" x14ac:dyDescent="0.25">
      <c r="B159" s="32"/>
      <c r="C159" s="32" t="str">
        <f>IF(B159&lt;&gt;"", LOOKUP(B159,reqTable[Id],reqTable[Name]),"")</f>
        <v/>
      </c>
      <c r="D159" s="32" t="str">
        <f>IF(C159&lt;&gt;"", LOOKUP(C159,reqTable[Name],reqTable[Coresponding Page]),"")</f>
        <v/>
      </c>
      <c r="E159" s="32" t="str">
        <f>IF(D159&lt;&gt;"", LOOKUP(D159,reqTable[Coresponding Page],reqTable[Priority]),"")</f>
        <v/>
      </c>
      <c r="F159" s="32"/>
      <c r="H159" s="32"/>
      <c r="I159" s="32"/>
      <c r="J159" s="32"/>
      <c r="K159" s="32"/>
      <c r="L159" s="32"/>
    </row>
    <row r="160" spans="2:12" x14ac:dyDescent="0.25">
      <c r="B160" s="32"/>
      <c r="C160" s="32" t="str">
        <f>IF(B160&lt;&gt;"", LOOKUP(B160,reqTable[Id],reqTable[Name]),"")</f>
        <v/>
      </c>
      <c r="D160" s="32" t="str">
        <f>IF(C160&lt;&gt;"", LOOKUP(C160,reqTable[Name],reqTable[Coresponding Page]),"")</f>
        <v/>
      </c>
      <c r="E160" s="32" t="str">
        <f>IF(D160&lt;&gt;"", LOOKUP(D160,reqTable[Coresponding Page],reqTable[Priority]),"")</f>
        <v/>
      </c>
      <c r="F160" s="32"/>
      <c r="H160" s="32"/>
      <c r="I160" s="32"/>
      <c r="J160" s="32"/>
      <c r="K160" s="32"/>
      <c r="L160" s="32"/>
    </row>
    <row r="161" spans="2:12" x14ac:dyDescent="0.25">
      <c r="B161" s="32"/>
      <c r="C161" s="32" t="str">
        <f>IF(B161&lt;&gt;"", LOOKUP(B161,reqTable[Id],reqTable[Name]),"")</f>
        <v/>
      </c>
      <c r="D161" s="32" t="str">
        <f>IF(C161&lt;&gt;"", LOOKUP(C161,reqTable[Name],reqTable[Coresponding Page]),"")</f>
        <v/>
      </c>
      <c r="E161" s="32" t="str">
        <f>IF(D161&lt;&gt;"", LOOKUP(D161,reqTable[Coresponding Page],reqTable[Priority]),"")</f>
        <v/>
      </c>
      <c r="F161" s="32"/>
      <c r="H161" s="32"/>
      <c r="I161" s="32"/>
      <c r="J161" s="32"/>
      <c r="K161" s="32"/>
      <c r="L161" s="32"/>
    </row>
    <row r="162" spans="2:12" x14ac:dyDescent="0.25">
      <c r="B162" s="32"/>
      <c r="C162" s="32" t="str">
        <f>IF(B162&lt;&gt;"", LOOKUP(B162,reqTable[Id],reqTable[Name]),"")</f>
        <v/>
      </c>
      <c r="D162" s="32" t="str">
        <f>IF(C162&lt;&gt;"", LOOKUP(C162,reqTable[Name],reqTable[Coresponding Page]),"")</f>
        <v/>
      </c>
      <c r="E162" s="32" t="str">
        <f>IF(D162&lt;&gt;"", LOOKUP(D162,reqTable[Coresponding Page],reqTable[Priority]),"")</f>
        <v/>
      </c>
      <c r="F162" s="32"/>
      <c r="H162" s="32"/>
      <c r="I162" s="32"/>
      <c r="J162" s="32"/>
      <c r="K162" s="32"/>
      <c r="L162" s="32"/>
    </row>
    <row r="163" spans="2:12" x14ac:dyDescent="0.25">
      <c r="B163" s="32"/>
      <c r="C163" s="32" t="str">
        <f>IF(B163&lt;&gt;"", LOOKUP(B163,reqTable[Id],reqTable[Name]),"")</f>
        <v/>
      </c>
      <c r="D163" s="32" t="str">
        <f>IF(C163&lt;&gt;"", LOOKUP(C163,reqTable[Name],reqTable[Coresponding Page]),"")</f>
        <v/>
      </c>
      <c r="E163" s="32" t="str">
        <f>IF(D163&lt;&gt;"", LOOKUP(D163,reqTable[Coresponding Page],reqTable[Priority]),"")</f>
        <v/>
      </c>
      <c r="F163" s="32"/>
      <c r="H163" s="32"/>
      <c r="I163" s="32"/>
      <c r="J163" s="32"/>
      <c r="K163" s="32"/>
      <c r="L163" s="32"/>
    </row>
    <row r="164" spans="2:12" x14ac:dyDescent="0.25">
      <c r="B164" s="32"/>
      <c r="C164" s="32" t="str">
        <f>IF(B164&lt;&gt;"", LOOKUP(B164,reqTable[Id],reqTable[Name]),"")</f>
        <v/>
      </c>
      <c r="D164" s="32" t="str">
        <f>IF(C164&lt;&gt;"", LOOKUP(C164,reqTable[Name],reqTable[Coresponding Page]),"")</f>
        <v/>
      </c>
      <c r="E164" s="32" t="str">
        <f>IF(D164&lt;&gt;"", LOOKUP(D164,reqTable[Coresponding Page],reqTable[Priority]),"")</f>
        <v/>
      </c>
      <c r="F164" s="32"/>
      <c r="H164" s="32"/>
      <c r="I164" s="32"/>
      <c r="J164" s="32"/>
      <c r="K164" s="32"/>
      <c r="L164" s="32"/>
    </row>
    <row r="165" spans="2:12" x14ac:dyDescent="0.25">
      <c r="B165" s="32"/>
      <c r="C165" s="32" t="str">
        <f>IF(B165&lt;&gt;"", LOOKUP(B165,reqTable[Id],reqTable[Name]),"")</f>
        <v/>
      </c>
      <c r="D165" s="32" t="str">
        <f>IF(C165&lt;&gt;"", LOOKUP(C165,reqTable[Name],reqTable[Coresponding Page]),"")</f>
        <v/>
      </c>
      <c r="E165" s="32" t="str">
        <f>IF(D165&lt;&gt;"", LOOKUP(D165,reqTable[Coresponding Page],reqTable[Priority]),"")</f>
        <v/>
      </c>
      <c r="F165" s="32"/>
      <c r="H165" s="32"/>
      <c r="I165" s="32"/>
      <c r="J165" s="32"/>
      <c r="K165" s="32"/>
      <c r="L165" s="32"/>
    </row>
    <row r="166" spans="2:12" x14ac:dyDescent="0.25">
      <c r="B166" s="32"/>
      <c r="C166" s="32" t="str">
        <f>IF(B166&lt;&gt;"", LOOKUP(B166,reqTable[Id],reqTable[Name]),"")</f>
        <v/>
      </c>
      <c r="D166" s="32" t="str">
        <f>IF(C166&lt;&gt;"", LOOKUP(C166,reqTable[Name],reqTable[Coresponding Page]),"")</f>
        <v/>
      </c>
      <c r="E166" s="32" t="str">
        <f>IF(D166&lt;&gt;"", LOOKUP(D166,reqTable[Coresponding Page],reqTable[Priority]),"")</f>
        <v/>
      </c>
      <c r="F166" s="32"/>
      <c r="H166" s="32"/>
      <c r="I166" s="32"/>
      <c r="J166" s="32"/>
      <c r="K166" s="32"/>
      <c r="L166" s="32"/>
    </row>
    <row r="167" spans="2:12" x14ac:dyDescent="0.25">
      <c r="B167" s="32"/>
      <c r="C167" s="32" t="str">
        <f>IF(B167&lt;&gt;"", LOOKUP(B167,reqTable[Id],reqTable[Name]),"")</f>
        <v/>
      </c>
      <c r="D167" s="32" t="str">
        <f>IF(C167&lt;&gt;"", LOOKUP(C167,reqTable[Name],reqTable[Coresponding Page]),"")</f>
        <v/>
      </c>
      <c r="E167" s="32" t="str">
        <f>IF(D167&lt;&gt;"", LOOKUP(D167,reqTable[Coresponding Page],reqTable[Priority]),"")</f>
        <v/>
      </c>
      <c r="F167" s="32"/>
      <c r="H167" s="32"/>
      <c r="I167" s="32"/>
      <c r="J167" s="32"/>
      <c r="K167" s="32"/>
      <c r="L167" s="32"/>
    </row>
    <row r="168" spans="2:12" x14ac:dyDescent="0.25">
      <c r="B168" s="32"/>
      <c r="C168" s="32" t="str">
        <f>IF(B168&lt;&gt;"", LOOKUP(B168,reqTable[Id],reqTable[Name]),"")</f>
        <v/>
      </c>
      <c r="D168" s="32" t="str">
        <f>IF(C168&lt;&gt;"", LOOKUP(C168,reqTable[Name],reqTable[Coresponding Page]),"")</f>
        <v/>
      </c>
      <c r="E168" s="32" t="str">
        <f>IF(D168&lt;&gt;"", LOOKUP(D168,reqTable[Coresponding Page],reqTable[Priority]),"")</f>
        <v/>
      </c>
      <c r="F168" s="32"/>
      <c r="H168" s="32"/>
      <c r="I168" s="32"/>
      <c r="J168" s="32"/>
      <c r="K168" s="32"/>
      <c r="L168" s="32"/>
    </row>
    <row r="169" spans="2:12" x14ac:dyDescent="0.25">
      <c r="B169" s="32"/>
      <c r="C169" s="32" t="str">
        <f>IF(B169&lt;&gt;"", LOOKUP(B169,reqTable[Id],reqTable[Name]),"")</f>
        <v/>
      </c>
      <c r="D169" s="32" t="str">
        <f>IF(C169&lt;&gt;"", LOOKUP(C169,reqTable[Name],reqTable[Coresponding Page]),"")</f>
        <v/>
      </c>
      <c r="E169" s="32" t="str">
        <f>IF(D169&lt;&gt;"", LOOKUP(D169,reqTable[Coresponding Page],reqTable[Priority]),"")</f>
        <v/>
      </c>
      <c r="F169" s="32"/>
      <c r="H169" s="32"/>
      <c r="I169" s="32"/>
      <c r="J169" s="32"/>
      <c r="K169" s="32"/>
      <c r="L169" s="32"/>
    </row>
    <row r="170" spans="2:12" x14ac:dyDescent="0.25">
      <c r="B170" s="32"/>
      <c r="C170" s="32" t="str">
        <f>IF(B170&lt;&gt;"", LOOKUP(B170,reqTable[Id],reqTable[Name]),"")</f>
        <v/>
      </c>
      <c r="D170" s="32" t="str">
        <f>IF(C170&lt;&gt;"", LOOKUP(C170,reqTable[Name],reqTable[Coresponding Page]),"")</f>
        <v/>
      </c>
      <c r="E170" s="32" t="str">
        <f>IF(D170&lt;&gt;"", LOOKUP(D170,reqTable[Coresponding Page],reqTable[Priority]),"")</f>
        <v/>
      </c>
      <c r="F170" s="32"/>
      <c r="H170" s="32"/>
      <c r="I170" s="32"/>
      <c r="J170" s="32"/>
      <c r="K170" s="32"/>
      <c r="L170" s="32"/>
    </row>
    <row r="171" spans="2:12" x14ac:dyDescent="0.25">
      <c r="B171" s="32"/>
      <c r="C171" s="32" t="str">
        <f>IF(B171&lt;&gt;"", LOOKUP(B171,reqTable[Id],reqTable[Name]),"")</f>
        <v/>
      </c>
      <c r="D171" s="32" t="str">
        <f>IF(C171&lt;&gt;"", LOOKUP(C171,reqTable[Name],reqTable[Coresponding Page]),"")</f>
        <v/>
      </c>
      <c r="E171" s="32" t="str">
        <f>IF(D171&lt;&gt;"", LOOKUP(D171,reqTable[Coresponding Page],reqTable[Priority]),"")</f>
        <v/>
      </c>
      <c r="F171" s="32"/>
      <c r="H171" s="32"/>
      <c r="I171" s="32"/>
      <c r="J171" s="32"/>
      <c r="K171" s="32"/>
      <c r="L171" s="32"/>
    </row>
    <row r="172" spans="2:12" x14ac:dyDescent="0.25">
      <c r="B172" s="32"/>
      <c r="C172" s="32" t="str">
        <f>IF(B172&lt;&gt;"", LOOKUP(B172,reqTable[Id],reqTable[Name]),"")</f>
        <v/>
      </c>
      <c r="D172" s="32" t="str">
        <f>IF(C172&lt;&gt;"", LOOKUP(C172,reqTable[Name],reqTable[Coresponding Page]),"")</f>
        <v/>
      </c>
      <c r="E172" s="32" t="str">
        <f>IF(D172&lt;&gt;"", LOOKUP(D172,reqTable[Coresponding Page],reqTable[Priority]),"")</f>
        <v/>
      </c>
      <c r="F172" s="32"/>
      <c r="H172" s="32"/>
      <c r="I172" s="32"/>
      <c r="J172" s="32"/>
      <c r="K172" s="32"/>
      <c r="L172" s="32"/>
    </row>
    <row r="173" spans="2:12" x14ac:dyDescent="0.25">
      <c r="B173" s="32"/>
      <c r="C173" s="32" t="str">
        <f>IF(B173&lt;&gt;"", LOOKUP(B173,reqTable[Id],reqTable[Name]),"")</f>
        <v/>
      </c>
      <c r="D173" s="32" t="str">
        <f>IF(C173&lt;&gt;"", LOOKUP(C173,reqTable[Name],reqTable[Coresponding Page]),"")</f>
        <v/>
      </c>
      <c r="E173" s="32" t="str">
        <f>IF(D173&lt;&gt;"", LOOKUP(D173,reqTable[Coresponding Page],reqTable[Priority]),"")</f>
        <v/>
      </c>
      <c r="F173" s="32"/>
      <c r="H173" s="32"/>
      <c r="I173" s="32"/>
      <c r="J173" s="32"/>
      <c r="K173" s="32"/>
      <c r="L173" s="32"/>
    </row>
    <row r="174" spans="2:12" x14ac:dyDescent="0.25">
      <c r="B174" s="32"/>
      <c r="C174" s="32" t="str">
        <f>IF(B174&lt;&gt;"", LOOKUP(B174,reqTable[Id],reqTable[Name]),"")</f>
        <v/>
      </c>
      <c r="D174" s="32" t="str">
        <f>IF(C174&lt;&gt;"", LOOKUP(C174,reqTable[Name],reqTable[Coresponding Page]),"")</f>
        <v/>
      </c>
      <c r="E174" s="32" t="str">
        <f>IF(D174&lt;&gt;"", LOOKUP(D174,reqTable[Coresponding Page],reqTable[Priority]),"")</f>
        <v/>
      </c>
      <c r="F174" s="32"/>
      <c r="H174" s="32"/>
      <c r="I174" s="32"/>
      <c r="J174" s="32"/>
      <c r="K174" s="32"/>
      <c r="L174" s="32"/>
    </row>
    <row r="175" spans="2:12" x14ac:dyDescent="0.25">
      <c r="B175" s="32"/>
      <c r="C175" s="32" t="str">
        <f>IF(B175&lt;&gt;"", LOOKUP(B175,reqTable[Id],reqTable[Name]),"")</f>
        <v/>
      </c>
      <c r="D175" s="32" t="str">
        <f>IF(C175&lt;&gt;"", LOOKUP(C175,reqTable[Name],reqTable[Coresponding Page]),"")</f>
        <v/>
      </c>
      <c r="E175" s="32" t="str">
        <f>IF(D175&lt;&gt;"", LOOKUP(D175,reqTable[Coresponding Page],reqTable[Priority]),"")</f>
        <v/>
      </c>
      <c r="F175" s="32"/>
      <c r="H175" s="32"/>
      <c r="I175" s="32"/>
      <c r="J175" s="32"/>
      <c r="K175" s="32"/>
      <c r="L175" s="32"/>
    </row>
    <row r="176" spans="2:12" x14ac:dyDescent="0.25">
      <c r="B176" s="32"/>
      <c r="C176" s="32" t="str">
        <f>IF(B176&lt;&gt;"", LOOKUP(B176,reqTable[Id],reqTable[Name]),"")</f>
        <v/>
      </c>
      <c r="D176" s="32" t="str">
        <f>IF(C176&lt;&gt;"", LOOKUP(C176,reqTable[Name],reqTable[Coresponding Page]),"")</f>
        <v/>
      </c>
      <c r="E176" s="32" t="str">
        <f>IF(D176&lt;&gt;"", LOOKUP(D176,reqTable[Coresponding Page],reqTable[Priority]),"")</f>
        <v/>
      </c>
      <c r="F176" s="32"/>
      <c r="H176" s="32"/>
      <c r="I176" s="32"/>
      <c r="J176" s="32"/>
      <c r="K176" s="32"/>
      <c r="L176" s="32"/>
    </row>
    <row r="177" spans="2:12" x14ac:dyDescent="0.25">
      <c r="B177" s="32"/>
      <c r="C177" s="32" t="str">
        <f>IF(B177&lt;&gt;"", LOOKUP(B177,reqTable[Id],reqTable[Name]),"")</f>
        <v/>
      </c>
      <c r="D177" s="32" t="str">
        <f>IF(C177&lt;&gt;"", LOOKUP(C177,reqTable[Name],reqTable[Coresponding Page]),"")</f>
        <v/>
      </c>
      <c r="E177" s="32" t="str">
        <f>IF(D177&lt;&gt;"", LOOKUP(D177,reqTable[Coresponding Page],reqTable[Priority]),"")</f>
        <v/>
      </c>
      <c r="F177" s="32"/>
      <c r="H177" s="32"/>
      <c r="I177" s="32"/>
      <c r="J177" s="32"/>
      <c r="K177" s="32"/>
      <c r="L177" s="32"/>
    </row>
    <row r="178" spans="2:12" x14ac:dyDescent="0.25">
      <c r="B178" s="32"/>
      <c r="C178" s="32" t="str">
        <f>IF(B178&lt;&gt;"", LOOKUP(B178,reqTable[Id],reqTable[Name]),"")</f>
        <v/>
      </c>
      <c r="D178" s="32" t="str">
        <f>IF(C178&lt;&gt;"", LOOKUP(C178,reqTable[Name],reqTable[Coresponding Page]),"")</f>
        <v/>
      </c>
      <c r="E178" s="32" t="str">
        <f>IF(D178&lt;&gt;"", LOOKUP(D178,reqTable[Coresponding Page],reqTable[Priority]),"")</f>
        <v/>
      </c>
      <c r="F178" s="32"/>
      <c r="H178" s="32"/>
      <c r="I178" s="32"/>
      <c r="J178" s="32"/>
      <c r="K178" s="32"/>
      <c r="L178" s="32"/>
    </row>
    <row r="179" spans="2:12" x14ac:dyDescent="0.25">
      <c r="B179" s="32"/>
      <c r="C179" s="32" t="str">
        <f>IF(B179&lt;&gt;"", LOOKUP(B179,reqTable[Id],reqTable[Name]),"")</f>
        <v/>
      </c>
      <c r="D179" s="32" t="str">
        <f>IF(C179&lt;&gt;"", LOOKUP(C179,reqTable[Name],reqTable[Coresponding Page]),"")</f>
        <v/>
      </c>
      <c r="E179" s="32" t="str">
        <f>IF(D179&lt;&gt;"", LOOKUP(D179,reqTable[Coresponding Page],reqTable[Priority]),"")</f>
        <v/>
      </c>
      <c r="F179" s="32"/>
      <c r="H179" s="32"/>
      <c r="I179" s="32"/>
      <c r="J179" s="32"/>
      <c r="K179" s="32"/>
      <c r="L179" s="32"/>
    </row>
    <row r="180" spans="2:12" x14ac:dyDescent="0.25">
      <c r="B180" s="32"/>
      <c r="C180" s="32" t="str">
        <f>IF(B180&lt;&gt;"", LOOKUP(B180,reqTable[Id],reqTable[Name]),"")</f>
        <v/>
      </c>
      <c r="D180" s="32" t="str">
        <f>IF(C180&lt;&gt;"", LOOKUP(C180,reqTable[Name],reqTable[Coresponding Page]),"")</f>
        <v/>
      </c>
      <c r="E180" s="32" t="str">
        <f>IF(D180&lt;&gt;"", LOOKUP(D180,reqTable[Coresponding Page],reqTable[Priority]),"")</f>
        <v/>
      </c>
      <c r="F180" s="32"/>
      <c r="H180" s="32"/>
      <c r="I180" s="32"/>
      <c r="J180" s="32"/>
      <c r="K180" s="32"/>
      <c r="L180" s="32"/>
    </row>
    <row r="181" spans="2:12" x14ac:dyDescent="0.25">
      <c r="B181" s="32"/>
      <c r="C181" s="32" t="str">
        <f>IF(B181&lt;&gt;"", LOOKUP(B181,reqTable[Id],reqTable[Name]),"")</f>
        <v/>
      </c>
      <c r="D181" s="32" t="str">
        <f>IF(C181&lt;&gt;"", LOOKUP(C181,reqTable[Name],reqTable[Coresponding Page]),"")</f>
        <v/>
      </c>
      <c r="E181" s="32" t="str">
        <f>IF(D181&lt;&gt;"", LOOKUP(D181,reqTable[Coresponding Page],reqTable[Priority]),"")</f>
        <v/>
      </c>
      <c r="F181" s="32"/>
      <c r="H181" s="32"/>
      <c r="I181" s="32"/>
      <c r="J181" s="32"/>
      <c r="K181" s="32"/>
      <c r="L181" s="32"/>
    </row>
    <row r="182" spans="2:12" x14ac:dyDescent="0.25">
      <c r="B182" s="32"/>
      <c r="C182" s="32" t="str">
        <f>IF(B182&lt;&gt;"", LOOKUP(B182,reqTable[Id],reqTable[Name]),"")</f>
        <v/>
      </c>
      <c r="D182" s="32" t="str">
        <f>IF(C182&lt;&gt;"", LOOKUP(C182,reqTable[Name],reqTable[Coresponding Page]),"")</f>
        <v/>
      </c>
      <c r="E182" s="32" t="str">
        <f>IF(D182&lt;&gt;"", LOOKUP(D182,reqTable[Coresponding Page],reqTable[Priority]),"")</f>
        <v/>
      </c>
      <c r="F182" s="32"/>
      <c r="H182" s="32"/>
      <c r="I182" s="32"/>
      <c r="J182" s="32"/>
      <c r="K182" s="32"/>
      <c r="L182" s="32"/>
    </row>
    <row r="183" spans="2:12" x14ac:dyDescent="0.25">
      <c r="B183" s="32"/>
      <c r="C183" s="32" t="str">
        <f>IF(B183&lt;&gt;"", LOOKUP(B183,reqTable[Id],reqTable[Name]),"")</f>
        <v/>
      </c>
      <c r="D183" s="32" t="str">
        <f>IF(C183&lt;&gt;"", LOOKUP(C183,reqTable[Name],reqTable[Coresponding Page]),"")</f>
        <v/>
      </c>
      <c r="E183" s="32" t="str">
        <f>IF(D183&lt;&gt;"", LOOKUP(D183,reqTable[Coresponding Page],reqTable[Priority]),"")</f>
        <v/>
      </c>
      <c r="F183" s="32"/>
      <c r="H183" s="32"/>
      <c r="I183" s="32"/>
      <c r="J183" s="32"/>
      <c r="K183" s="32"/>
      <c r="L183" s="32"/>
    </row>
    <row r="184" spans="2:12" x14ac:dyDescent="0.25">
      <c r="B184" s="32"/>
      <c r="C184" s="32" t="str">
        <f>IF(B184&lt;&gt;"", LOOKUP(B184,reqTable[Id],reqTable[Name]),"")</f>
        <v/>
      </c>
      <c r="D184" s="32" t="str">
        <f>IF(C184&lt;&gt;"", LOOKUP(C184,reqTable[Name],reqTable[Coresponding Page]),"")</f>
        <v/>
      </c>
      <c r="E184" s="32" t="str">
        <f>IF(D184&lt;&gt;"", LOOKUP(D184,reqTable[Coresponding Page],reqTable[Priority]),"")</f>
        <v/>
      </c>
      <c r="F184" s="32"/>
      <c r="H184" s="32"/>
      <c r="I184" s="32"/>
      <c r="J184" s="32"/>
      <c r="K184" s="32"/>
      <c r="L184" s="32"/>
    </row>
    <row r="185" spans="2:12" x14ac:dyDescent="0.25">
      <c r="B185" s="32"/>
      <c r="C185" s="32" t="str">
        <f>IF(B185&lt;&gt;"", LOOKUP(B185,reqTable[Id],reqTable[Name]),"")</f>
        <v/>
      </c>
      <c r="D185" s="32" t="str">
        <f>IF(C185&lt;&gt;"", LOOKUP(C185,reqTable[Name],reqTable[Coresponding Page]),"")</f>
        <v/>
      </c>
      <c r="E185" s="32" t="str">
        <f>IF(D185&lt;&gt;"", LOOKUP(D185,reqTable[Coresponding Page],reqTable[Priority]),"")</f>
        <v/>
      </c>
      <c r="F185" s="32"/>
      <c r="H185" s="32"/>
      <c r="I185" s="32"/>
      <c r="J185" s="32"/>
      <c r="K185" s="32"/>
      <c r="L185" s="32"/>
    </row>
    <row r="186" spans="2:12" x14ac:dyDescent="0.25">
      <c r="B186" s="32"/>
      <c r="C186" s="32" t="str">
        <f>IF(B186&lt;&gt;"", LOOKUP(B186,reqTable[Id],reqTable[Name]),"")</f>
        <v/>
      </c>
      <c r="D186" s="32" t="str">
        <f>IF(C186&lt;&gt;"", LOOKUP(C186,reqTable[Name],reqTable[Coresponding Page]),"")</f>
        <v/>
      </c>
      <c r="E186" s="32" t="str">
        <f>IF(D186&lt;&gt;"", LOOKUP(D186,reqTable[Coresponding Page],reqTable[Priority]),"")</f>
        <v/>
      </c>
      <c r="F186" s="32"/>
      <c r="H186" s="32"/>
      <c r="I186" s="32"/>
      <c r="J186" s="32"/>
      <c r="K186" s="32"/>
      <c r="L186" s="32"/>
    </row>
    <row r="187" spans="2:12" x14ac:dyDescent="0.25">
      <c r="B187" s="32"/>
      <c r="C187" s="32" t="str">
        <f>IF(B187&lt;&gt;"", LOOKUP(B187,reqTable[Id],reqTable[Name]),"")</f>
        <v/>
      </c>
      <c r="D187" s="32" t="str">
        <f>IF(C187&lt;&gt;"", LOOKUP(C187,reqTable[Name],reqTable[Coresponding Page]),"")</f>
        <v/>
      </c>
      <c r="E187" s="32" t="str">
        <f>IF(D187&lt;&gt;"", LOOKUP(D187,reqTable[Coresponding Page],reqTable[Priority]),"")</f>
        <v/>
      </c>
      <c r="F187" s="32"/>
      <c r="H187" s="32"/>
      <c r="I187" s="32"/>
      <c r="J187" s="32"/>
      <c r="K187" s="32"/>
      <c r="L187" s="32"/>
    </row>
    <row r="188" spans="2:12" x14ac:dyDescent="0.25">
      <c r="B188" s="32"/>
      <c r="C188" s="32" t="str">
        <f>IF(B188&lt;&gt;"", LOOKUP(B188,reqTable[Id],reqTable[Name]),"")</f>
        <v/>
      </c>
      <c r="D188" s="32" t="str">
        <f>IF(C188&lt;&gt;"", LOOKUP(C188,reqTable[Name],reqTable[Coresponding Page]),"")</f>
        <v/>
      </c>
      <c r="E188" s="32" t="str">
        <f>IF(D188&lt;&gt;"", LOOKUP(D188,reqTable[Coresponding Page],reqTable[Priority]),"")</f>
        <v/>
      </c>
      <c r="F188" s="32"/>
      <c r="H188" s="32"/>
      <c r="I188" s="32"/>
      <c r="J188" s="32"/>
      <c r="K188" s="32"/>
      <c r="L188" s="32"/>
    </row>
    <row r="189" spans="2:12" x14ac:dyDescent="0.25">
      <c r="B189" s="32"/>
      <c r="C189" s="32" t="str">
        <f>IF(B189&lt;&gt;"", LOOKUP(B189,reqTable[Id],reqTable[Name]),"")</f>
        <v/>
      </c>
      <c r="D189" s="32" t="str">
        <f>IF(C189&lt;&gt;"", LOOKUP(C189,reqTable[Name],reqTable[Coresponding Page]),"")</f>
        <v/>
      </c>
      <c r="E189" s="32" t="str">
        <f>IF(D189&lt;&gt;"", LOOKUP(D189,reqTable[Coresponding Page],reqTable[Priority]),"")</f>
        <v/>
      </c>
      <c r="F189" s="32"/>
      <c r="H189" s="32"/>
      <c r="I189" s="32"/>
      <c r="J189" s="32"/>
      <c r="K189" s="32"/>
      <c r="L189" s="32"/>
    </row>
    <row r="190" spans="2:12" x14ac:dyDescent="0.25">
      <c r="B190" s="32"/>
      <c r="C190" s="32" t="str">
        <f>IF(B190&lt;&gt;"", LOOKUP(B190,reqTable[Id],reqTable[Name]),"")</f>
        <v/>
      </c>
      <c r="D190" s="32" t="str">
        <f>IF(C190&lt;&gt;"", LOOKUP(C190,reqTable[Name],reqTable[Coresponding Page]),"")</f>
        <v/>
      </c>
      <c r="E190" s="32" t="str">
        <f>IF(D190&lt;&gt;"", LOOKUP(D190,reqTable[Coresponding Page],reqTable[Priority]),"")</f>
        <v/>
      </c>
      <c r="F190" s="32"/>
      <c r="H190" s="32"/>
      <c r="I190" s="32"/>
      <c r="J190" s="32"/>
      <c r="K190" s="32"/>
      <c r="L190" s="32"/>
    </row>
    <row r="191" spans="2:12" x14ac:dyDescent="0.25">
      <c r="B191" s="32"/>
      <c r="C191" s="32" t="str">
        <f>IF(B191&lt;&gt;"", LOOKUP(B191,reqTable[Id],reqTable[Name]),"")</f>
        <v/>
      </c>
      <c r="D191" s="32" t="str">
        <f>IF(C191&lt;&gt;"", LOOKUP(C191,reqTable[Name],reqTable[Coresponding Page]),"")</f>
        <v/>
      </c>
      <c r="E191" s="32" t="str">
        <f>IF(D191&lt;&gt;"", LOOKUP(D191,reqTable[Coresponding Page],reqTable[Priority]),"")</f>
        <v/>
      </c>
      <c r="F191" s="32"/>
      <c r="H191" s="32"/>
      <c r="I191" s="32"/>
      <c r="J191" s="32"/>
      <c r="K191" s="32"/>
      <c r="L191" s="32"/>
    </row>
    <row r="192" spans="2:12" x14ac:dyDescent="0.25">
      <c r="B192" s="32"/>
      <c r="C192" s="32" t="str">
        <f>IF(B192&lt;&gt;"", LOOKUP(B192,reqTable[Id],reqTable[Name]),"")</f>
        <v/>
      </c>
      <c r="D192" s="32" t="str">
        <f>IF(C192&lt;&gt;"", LOOKUP(C192,reqTable[Name],reqTable[Coresponding Page]),"")</f>
        <v/>
      </c>
      <c r="E192" s="32" t="str">
        <f>IF(D192&lt;&gt;"", LOOKUP(D192,reqTable[Coresponding Page],reqTable[Priority]),"")</f>
        <v/>
      </c>
      <c r="F192" s="32"/>
      <c r="H192" s="32"/>
      <c r="I192" s="32"/>
      <c r="J192" s="32"/>
      <c r="K192" s="32"/>
      <c r="L192" s="32"/>
    </row>
    <row r="193" spans="2:12" x14ac:dyDescent="0.25">
      <c r="B193" s="32"/>
      <c r="C193" s="32" t="str">
        <f>IF(B193&lt;&gt;"", LOOKUP(B193,reqTable[Id],reqTable[Name]),"")</f>
        <v/>
      </c>
      <c r="D193" s="32" t="str">
        <f>IF(C193&lt;&gt;"", LOOKUP(C193,reqTable[Name],reqTable[Coresponding Page]),"")</f>
        <v/>
      </c>
      <c r="E193" s="32" t="str">
        <f>IF(D193&lt;&gt;"", LOOKUP(D193,reqTable[Coresponding Page],reqTable[Priority]),"")</f>
        <v/>
      </c>
      <c r="F193" s="32"/>
      <c r="H193" s="32"/>
      <c r="I193" s="32"/>
      <c r="J193" s="32"/>
      <c r="K193" s="32"/>
      <c r="L193" s="32"/>
    </row>
    <row r="194" spans="2:12" x14ac:dyDescent="0.25">
      <c r="B194" s="32"/>
      <c r="C194" s="32" t="str">
        <f>IF(B194&lt;&gt;"", LOOKUP(B194,reqTable[Id],reqTable[Name]),"")</f>
        <v/>
      </c>
      <c r="D194" s="32" t="str">
        <f>IF(C194&lt;&gt;"", LOOKUP(C194,reqTable[Name],reqTable[Coresponding Page]),"")</f>
        <v/>
      </c>
      <c r="E194" s="32" t="str">
        <f>IF(D194&lt;&gt;"", LOOKUP(D194,reqTable[Coresponding Page],reqTable[Priority]),"")</f>
        <v/>
      </c>
      <c r="F194" s="32"/>
      <c r="H194" s="32"/>
      <c r="I194" s="32"/>
      <c r="J194" s="32"/>
      <c r="K194" s="32"/>
      <c r="L194" s="32"/>
    </row>
    <row r="195" spans="2:12" x14ac:dyDescent="0.25">
      <c r="B195" s="32"/>
      <c r="C195" s="32" t="str">
        <f>IF(B195&lt;&gt;"", LOOKUP(B195,reqTable[Id],reqTable[Name]),"")</f>
        <v/>
      </c>
      <c r="D195" s="32" t="str">
        <f>IF(C195&lt;&gt;"", LOOKUP(C195,reqTable[Name],reqTable[Coresponding Page]),"")</f>
        <v/>
      </c>
      <c r="E195" s="32" t="str">
        <f>IF(D195&lt;&gt;"", LOOKUP(D195,reqTable[Coresponding Page],reqTable[Priority]),"")</f>
        <v/>
      </c>
      <c r="F195" s="32"/>
      <c r="H195" s="32"/>
      <c r="I195" s="32"/>
      <c r="J195" s="32"/>
      <c r="K195" s="32"/>
      <c r="L195" s="32"/>
    </row>
    <row r="196" spans="2:12" x14ac:dyDescent="0.25">
      <c r="B196" s="32"/>
      <c r="C196" s="32" t="str">
        <f>IF(B196&lt;&gt;"", LOOKUP(B196,reqTable[Id],reqTable[Name]),"")</f>
        <v/>
      </c>
      <c r="D196" s="32" t="str">
        <f>IF(C196&lt;&gt;"", LOOKUP(C196,reqTable[Name],reqTable[Coresponding Page]),"")</f>
        <v/>
      </c>
      <c r="E196" s="32" t="str">
        <f>IF(D196&lt;&gt;"", LOOKUP(D196,reqTable[Coresponding Page],reqTable[Priority]),"")</f>
        <v/>
      </c>
      <c r="F196" s="32"/>
      <c r="H196" s="32"/>
      <c r="I196" s="32"/>
      <c r="J196" s="32"/>
      <c r="K196" s="32"/>
      <c r="L196" s="32"/>
    </row>
    <row r="197" spans="2:12" x14ac:dyDescent="0.25">
      <c r="B197" s="32"/>
      <c r="C197" s="32" t="str">
        <f>IF(B197&lt;&gt;"", LOOKUP(B197,reqTable[Id],reqTable[Name]),"")</f>
        <v/>
      </c>
      <c r="D197" s="32" t="str">
        <f>IF(C197&lt;&gt;"", LOOKUP(C197,reqTable[Name],reqTable[Coresponding Page]),"")</f>
        <v/>
      </c>
      <c r="E197" s="32" t="str">
        <f>IF(D197&lt;&gt;"", LOOKUP(D197,reqTable[Coresponding Page],reqTable[Priority]),"")</f>
        <v/>
      </c>
      <c r="F197" s="32"/>
      <c r="H197" s="32"/>
      <c r="I197" s="32"/>
      <c r="J197" s="32"/>
      <c r="K197" s="32"/>
      <c r="L197" s="32"/>
    </row>
    <row r="198" spans="2:12" x14ac:dyDescent="0.25">
      <c r="B198" s="32"/>
      <c r="C198" s="32" t="str">
        <f>IF(B198&lt;&gt;"", LOOKUP(B198,reqTable[Id],reqTable[Name]),"")</f>
        <v/>
      </c>
      <c r="D198" s="32" t="str">
        <f>IF(C198&lt;&gt;"", LOOKUP(C198,reqTable[Name],reqTable[Coresponding Page]),"")</f>
        <v/>
      </c>
      <c r="E198" s="32" t="str">
        <f>IF(D198&lt;&gt;"", LOOKUP(D198,reqTable[Coresponding Page],reqTable[Priority]),"")</f>
        <v/>
      </c>
      <c r="F198" s="32"/>
      <c r="H198" s="32"/>
      <c r="I198" s="32"/>
      <c r="J198" s="32"/>
      <c r="K198" s="32"/>
      <c r="L198" s="32"/>
    </row>
    <row r="199" spans="2:12" x14ac:dyDescent="0.25">
      <c r="B199" s="32"/>
      <c r="C199" s="32" t="str">
        <f>IF(B199&lt;&gt;"", LOOKUP(B199,reqTable[Id],reqTable[Name]),"")</f>
        <v/>
      </c>
      <c r="D199" s="32" t="str">
        <f>IF(C199&lt;&gt;"", LOOKUP(C199,reqTable[Name],reqTable[Coresponding Page]),"")</f>
        <v/>
      </c>
      <c r="E199" s="32" t="str">
        <f>IF(D199&lt;&gt;"", LOOKUP(D199,reqTable[Coresponding Page],reqTable[Priority]),"")</f>
        <v/>
      </c>
      <c r="F199" s="32"/>
      <c r="H199" s="32"/>
      <c r="I199" s="32"/>
      <c r="J199" s="32"/>
      <c r="K199" s="32"/>
      <c r="L199" s="32"/>
    </row>
    <row r="200" spans="2:12" x14ac:dyDescent="0.25">
      <c r="B200" s="32"/>
      <c r="C200" s="32" t="str">
        <f>IF(B200&lt;&gt;"", LOOKUP(B200,reqTable[Id],reqTable[Name]),"")</f>
        <v/>
      </c>
      <c r="D200" s="32" t="str">
        <f>IF(C200&lt;&gt;"", LOOKUP(C200,reqTable[Name],reqTable[Coresponding Page]),"")</f>
        <v/>
      </c>
      <c r="E200" s="32" t="str">
        <f>IF(D200&lt;&gt;"", LOOKUP(D200,reqTable[Coresponding Page],reqTable[Priority]),"")</f>
        <v/>
      </c>
      <c r="F200" s="32"/>
      <c r="H200" s="32"/>
      <c r="I200" s="32"/>
      <c r="J200" s="32"/>
      <c r="K200" s="32"/>
      <c r="L200" s="32"/>
    </row>
    <row r="201" spans="2:12" x14ac:dyDescent="0.25">
      <c r="B201" s="32"/>
      <c r="C201" s="32" t="str">
        <f>IF(B201&lt;&gt;"", LOOKUP(B201,reqTable[Id],reqTable[Name]),"")</f>
        <v/>
      </c>
      <c r="D201" s="32" t="str">
        <f>IF(C201&lt;&gt;"", LOOKUP(C201,reqTable[Name],reqTable[Coresponding Page]),"")</f>
        <v/>
      </c>
      <c r="E201" s="32" t="str">
        <f>IF(D201&lt;&gt;"", LOOKUP(D201,reqTable[Coresponding Page],reqTable[Priority]),"")</f>
        <v/>
      </c>
      <c r="F201" s="32"/>
      <c r="H201" s="32"/>
      <c r="I201" s="32"/>
      <c r="J201" s="32"/>
      <c r="K201" s="32"/>
      <c r="L201" s="32"/>
    </row>
    <row r="202" spans="2:12" x14ac:dyDescent="0.25">
      <c r="B202" s="32"/>
      <c r="C202" s="32" t="str">
        <f>IF(B202&lt;&gt;"", LOOKUP(B202,reqTable[Id],reqTable[Name]),"")</f>
        <v/>
      </c>
      <c r="D202" s="32" t="str">
        <f>IF(C202&lt;&gt;"", LOOKUP(C202,reqTable[Name],reqTable[Coresponding Page]),"")</f>
        <v/>
      </c>
      <c r="E202" s="32" t="str">
        <f>IF(D202&lt;&gt;"", LOOKUP(D202,reqTable[Coresponding Page],reqTable[Priority]),"")</f>
        <v/>
      </c>
      <c r="F202" s="32"/>
      <c r="H202" s="32"/>
      <c r="I202" s="32"/>
      <c r="J202" s="32"/>
      <c r="K202" s="32"/>
      <c r="L202" s="32"/>
    </row>
    <row r="203" spans="2:12" x14ac:dyDescent="0.25">
      <c r="B203" s="32"/>
      <c r="C203" s="32" t="str">
        <f>IF(B203&lt;&gt;"", LOOKUP(B203,reqTable[Id],reqTable[Name]),"")</f>
        <v/>
      </c>
      <c r="D203" s="32" t="str">
        <f>IF(C203&lt;&gt;"", LOOKUP(C203,reqTable[Name],reqTable[Coresponding Page]),"")</f>
        <v/>
      </c>
      <c r="E203" s="32" t="str">
        <f>IF(D203&lt;&gt;"", LOOKUP(D203,reqTable[Coresponding Page],reqTable[Priority]),"")</f>
        <v/>
      </c>
      <c r="F203" s="32"/>
      <c r="H203" s="32"/>
      <c r="I203" s="32"/>
      <c r="J203" s="32"/>
      <c r="K203" s="32"/>
      <c r="L203" s="32"/>
    </row>
    <row r="204" spans="2:12" x14ac:dyDescent="0.25">
      <c r="B204" s="32"/>
      <c r="C204" s="32" t="str">
        <f>IF(B204&lt;&gt;"", LOOKUP(B204,reqTable[Id],reqTable[Name]),"")</f>
        <v/>
      </c>
      <c r="D204" s="32" t="str">
        <f>IF(C204&lt;&gt;"", LOOKUP(C204,reqTable[Name],reqTable[Coresponding Page]),"")</f>
        <v/>
      </c>
      <c r="E204" s="32" t="str">
        <f>IF(D204&lt;&gt;"", LOOKUP(D204,reqTable[Coresponding Page],reqTable[Priority]),"")</f>
        <v/>
      </c>
      <c r="F204" s="32"/>
      <c r="H204" s="32"/>
      <c r="I204" s="32"/>
      <c r="J204" s="32"/>
      <c r="K204" s="32"/>
      <c r="L204" s="32"/>
    </row>
    <row r="205" spans="2:12" x14ac:dyDescent="0.25">
      <c r="B205" s="32"/>
      <c r="C205" s="32" t="str">
        <f>IF(B205&lt;&gt;"", LOOKUP(B205,reqTable[Id],reqTable[Name]),"")</f>
        <v/>
      </c>
      <c r="D205" s="32" t="str">
        <f>IF(C205&lt;&gt;"", LOOKUP(C205,reqTable[Name],reqTable[Coresponding Page]),"")</f>
        <v/>
      </c>
      <c r="E205" s="32" t="str">
        <f>IF(D205&lt;&gt;"", LOOKUP(D205,reqTable[Coresponding Page],reqTable[Priority]),"")</f>
        <v/>
      </c>
      <c r="F205" s="32"/>
      <c r="H205" s="32"/>
      <c r="I205" s="32"/>
      <c r="J205" s="32"/>
      <c r="K205" s="32"/>
      <c r="L205" s="32"/>
    </row>
    <row r="206" spans="2:12" x14ac:dyDescent="0.25">
      <c r="B206" s="32"/>
      <c r="C206" s="32" t="str">
        <f>IF(B206&lt;&gt;"", LOOKUP(B206,reqTable[Id],reqTable[Name]),"")</f>
        <v/>
      </c>
      <c r="D206" s="32" t="str">
        <f>IF(C206&lt;&gt;"", LOOKUP(C206,reqTable[Name],reqTable[Coresponding Page]),"")</f>
        <v/>
      </c>
      <c r="E206" s="32" t="str">
        <f>IF(D206&lt;&gt;"", LOOKUP(D206,reqTable[Coresponding Page],reqTable[Priority]),"")</f>
        <v/>
      </c>
      <c r="F206" s="32"/>
      <c r="H206" s="32"/>
      <c r="I206" s="32"/>
      <c r="J206" s="32"/>
      <c r="K206" s="32"/>
      <c r="L206" s="32"/>
    </row>
    <row r="207" spans="2:12" x14ac:dyDescent="0.25">
      <c r="B207" s="32"/>
      <c r="C207" s="32" t="str">
        <f>IF(B207&lt;&gt;"", LOOKUP(B207,reqTable[Id],reqTable[Name]),"")</f>
        <v/>
      </c>
      <c r="D207" s="32" t="str">
        <f>IF(C207&lt;&gt;"", LOOKUP(C207,reqTable[Name],reqTable[Coresponding Page]),"")</f>
        <v/>
      </c>
      <c r="E207" s="32" t="str">
        <f>IF(D207&lt;&gt;"", LOOKUP(D207,reqTable[Coresponding Page],reqTable[Priority]),"")</f>
        <v/>
      </c>
      <c r="F207" s="32"/>
      <c r="H207" s="32"/>
      <c r="I207" s="32"/>
      <c r="J207" s="32"/>
      <c r="K207" s="32"/>
      <c r="L207" s="32"/>
    </row>
    <row r="208" spans="2:12" x14ac:dyDescent="0.25">
      <c r="B208" s="32"/>
      <c r="C208" s="32" t="str">
        <f>IF(B208&lt;&gt;"", LOOKUP(B208,reqTable[Id],reqTable[Name]),"")</f>
        <v/>
      </c>
      <c r="D208" s="32" t="str">
        <f>IF(C208&lt;&gt;"", LOOKUP(C208,reqTable[Name],reqTable[Coresponding Page]),"")</f>
        <v/>
      </c>
      <c r="E208" s="32" t="str">
        <f>IF(D208&lt;&gt;"", LOOKUP(D208,reqTable[Coresponding Page],reqTable[Priority]),"")</f>
        <v/>
      </c>
      <c r="F208" s="32"/>
      <c r="H208" s="32"/>
      <c r="I208" s="32"/>
      <c r="J208" s="32"/>
      <c r="K208" s="32"/>
      <c r="L208" s="32"/>
    </row>
    <row r="209" spans="2:12" x14ac:dyDescent="0.25">
      <c r="B209" s="32"/>
      <c r="C209" s="32" t="str">
        <f>IF(B209&lt;&gt;"", LOOKUP(B209,reqTable[Id],reqTable[Name]),"")</f>
        <v/>
      </c>
      <c r="D209" s="32" t="str">
        <f>IF(C209&lt;&gt;"", LOOKUP(C209,reqTable[Name],reqTable[Coresponding Page]),"")</f>
        <v/>
      </c>
      <c r="E209" s="32" t="str">
        <f>IF(D209&lt;&gt;"", LOOKUP(D209,reqTable[Coresponding Page],reqTable[Priority]),"")</f>
        <v/>
      </c>
      <c r="F209" s="32"/>
      <c r="H209" s="32"/>
      <c r="I209" s="32"/>
      <c r="J209" s="32"/>
      <c r="K209" s="32"/>
      <c r="L209" s="32"/>
    </row>
    <row r="210" spans="2:12" x14ac:dyDescent="0.25">
      <c r="B210" s="32"/>
      <c r="C210" s="32" t="str">
        <f>IF(B210&lt;&gt;"", LOOKUP(B210,reqTable[Id],reqTable[Name]),"")</f>
        <v/>
      </c>
      <c r="D210" s="32" t="str">
        <f>IF(C210&lt;&gt;"", LOOKUP(C210,reqTable[Name],reqTable[Coresponding Page]),"")</f>
        <v/>
      </c>
      <c r="E210" s="32" t="str">
        <f>IF(D210&lt;&gt;"", LOOKUP(D210,reqTable[Coresponding Page],reqTable[Priority]),"")</f>
        <v/>
      </c>
      <c r="F210" s="32"/>
      <c r="H210" s="32"/>
      <c r="I210" s="32"/>
      <c r="J210" s="32"/>
      <c r="K210" s="32"/>
      <c r="L210" s="32"/>
    </row>
    <row r="211" spans="2:12" x14ac:dyDescent="0.25">
      <c r="B211" s="32"/>
      <c r="C211" s="32" t="str">
        <f>IF(B211&lt;&gt;"", LOOKUP(B211,reqTable[Id],reqTable[Name]),"")</f>
        <v/>
      </c>
      <c r="D211" s="32" t="str">
        <f>IF(C211&lt;&gt;"", LOOKUP(C211,reqTable[Name],reqTable[Coresponding Page]),"")</f>
        <v/>
      </c>
      <c r="E211" s="32" t="str">
        <f>IF(D211&lt;&gt;"", LOOKUP(D211,reqTable[Coresponding Page],reqTable[Priority]),"")</f>
        <v/>
      </c>
      <c r="F211" s="32"/>
      <c r="H211" s="32"/>
      <c r="I211" s="32"/>
      <c r="J211" s="32"/>
      <c r="K211" s="32"/>
      <c r="L211" s="32"/>
    </row>
    <row r="212" spans="2:12" x14ac:dyDescent="0.25">
      <c r="B212" s="32"/>
      <c r="C212" s="32" t="str">
        <f>IF(B212&lt;&gt;"", LOOKUP(B212,reqTable[Id],reqTable[Name]),"")</f>
        <v/>
      </c>
      <c r="D212" s="32" t="str">
        <f>IF(C212&lt;&gt;"", LOOKUP(C212,reqTable[Name],reqTable[Coresponding Page]),"")</f>
        <v/>
      </c>
      <c r="E212" s="32" t="str">
        <f>IF(D212&lt;&gt;"", LOOKUP(D212,reqTable[Coresponding Page],reqTable[Priority]),"")</f>
        <v/>
      </c>
      <c r="F212" s="32"/>
      <c r="H212" s="32"/>
      <c r="I212" s="32"/>
      <c r="J212" s="32"/>
      <c r="K212" s="32"/>
      <c r="L212" s="32"/>
    </row>
    <row r="213" spans="2:12" x14ac:dyDescent="0.25">
      <c r="B213" s="32"/>
      <c r="C213" s="32" t="str">
        <f>IF(B213&lt;&gt;"", LOOKUP(B213,reqTable[Id],reqTable[Name]),"")</f>
        <v/>
      </c>
      <c r="D213" s="32" t="str">
        <f>IF(C213&lt;&gt;"", LOOKUP(C213,reqTable[Name],reqTable[Coresponding Page]),"")</f>
        <v/>
      </c>
      <c r="E213" s="32" t="str">
        <f>IF(D213&lt;&gt;"", LOOKUP(D213,reqTable[Coresponding Page],reqTable[Priority]),"")</f>
        <v/>
      </c>
      <c r="F213" s="32"/>
      <c r="H213" s="32"/>
      <c r="I213" s="32"/>
      <c r="J213" s="32"/>
      <c r="K213" s="32"/>
      <c r="L213" s="32"/>
    </row>
    <row r="214" spans="2:12" x14ac:dyDescent="0.25">
      <c r="B214" s="32"/>
      <c r="C214" s="32" t="str">
        <f>IF(B214&lt;&gt;"", LOOKUP(B214,reqTable[Id],reqTable[Name]),"")</f>
        <v/>
      </c>
      <c r="D214" s="32" t="str">
        <f>IF(C214&lt;&gt;"", LOOKUP(C214,reqTable[Name],reqTable[Coresponding Page]),"")</f>
        <v/>
      </c>
      <c r="E214" s="32" t="str">
        <f>IF(D214&lt;&gt;"", LOOKUP(D214,reqTable[Coresponding Page],reqTable[Priority]),"")</f>
        <v/>
      </c>
      <c r="F214" s="32"/>
      <c r="H214" s="32"/>
      <c r="I214" s="32"/>
      <c r="J214" s="32"/>
      <c r="K214" s="32"/>
      <c r="L214" s="32"/>
    </row>
    <row r="215" spans="2:12" x14ac:dyDescent="0.25">
      <c r="B215" s="32"/>
      <c r="C215" s="32" t="str">
        <f>IF(B215&lt;&gt;"", LOOKUP(B215,reqTable[Id],reqTable[Name]),"")</f>
        <v/>
      </c>
      <c r="D215" s="32" t="str">
        <f>IF(C215&lt;&gt;"", LOOKUP(C215,reqTable[Name],reqTable[Coresponding Page]),"")</f>
        <v/>
      </c>
      <c r="E215" s="32" t="str">
        <f>IF(D215&lt;&gt;"", LOOKUP(D215,reqTable[Coresponding Page],reqTable[Priority]),"")</f>
        <v/>
      </c>
      <c r="F215" s="32"/>
      <c r="H215" s="32"/>
      <c r="I215" s="32"/>
      <c r="J215" s="32"/>
      <c r="K215" s="32"/>
      <c r="L215" s="32"/>
    </row>
    <row r="216" spans="2:12" x14ac:dyDescent="0.25">
      <c r="B216" s="32"/>
      <c r="C216" s="32" t="str">
        <f>IF(B216&lt;&gt;"", LOOKUP(B216,reqTable[Id],reqTable[Name]),"")</f>
        <v/>
      </c>
      <c r="D216" s="32" t="str">
        <f>IF(C216&lt;&gt;"", LOOKUP(C216,reqTable[Name],reqTable[Coresponding Page]),"")</f>
        <v/>
      </c>
      <c r="E216" s="32" t="str">
        <f>IF(D216&lt;&gt;"", LOOKUP(D216,reqTable[Coresponding Page],reqTable[Priority]),"")</f>
        <v/>
      </c>
      <c r="F216" s="32"/>
      <c r="H216" s="32"/>
      <c r="I216" s="32"/>
      <c r="J216" s="32"/>
      <c r="K216" s="32"/>
      <c r="L216" s="32"/>
    </row>
    <row r="217" spans="2:12" x14ac:dyDescent="0.25">
      <c r="B217" s="32"/>
      <c r="C217" s="32" t="str">
        <f>IF(B217&lt;&gt;"", LOOKUP(B217,reqTable[Id],reqTable[Name]),"")</f>
        <v/>
      </c>
      <c r="D217" s="32" t="str">
        <f>IF(C217&lt;&gt;"", LOOKUP(C217,reqTable[Name],reqTable[Coresponding Page]),"")</f>
        <v/>
      </c>
      <c r="E217" s="32" t="str">
        <f>IF(D217&lt;&gt;"", LOOKUP(D217,reqTable[Coresponding Page],reqTable[Priority]),"")</f>
        <v/>
      </c>
      <c r="F217" s="32"/>
      <c r="H217" s="32"/>
      <c r="I217" s="32"/>
      <c r="J217" s="32"/>
      <c r="K217" s="32"/>
      <c r="L217" s="32"/>
    </row>
    <row r="218" spans="2:12" x14ac:dyDescent="0.25">
      <c r="B218" s="32"/>
      <c r="C218" s="32" t="str">
        <f>IF(B218&lt;&gt;"", LOOKUP(B218,reqTable[Id],reqTable[Name]),"")</f>
        <v/>
      </c>
      <c r="D218" s="32" t="str">
        <f>IF(C218&lt;&gt;"", LOOKUP(C218,reqTable[Name],reqTable[Coresponding Page]),"")</f>
        <v/>
      </c>
      <c r="E218" s="32" t="str">
        <f>IF(D218&lt;&gt;"", LOOKUP(D218,reqTable[Coresponding Page],reqTable[Priority]),"")</f>
        <v/>
      </c>
      <c r="F218" s="32"/>
      <c r="H218" s="32"/>
      <c r="I218" s="32"/>
      <c r="J218" s="32"/>
      <c r="K218" s="32"/>
      <c r="L218" s="32"/>
    </row>
    <row r="219" spans="2:12" x14ac:dyDescent="0.25">
      <c r="B219" s="32"/>
      <c r="C219" s="32" t="str">
        <f>IF(B219&lt;&gt;"", LOOKUP(B219,reqTable[Id],reqTable[Name]),"")</f>
        <v/>
      </c>
      <c r="D219" s="32" t="str">
        <f>IF(C219&lt;&gt;"", LOOKUP(C219,reqTable[Name],reqTable[Coresponding Page]),"")</f>
        <v/>
      </c>
      <c r="E219" s="32" t="str">
        <f>IF(D219&lt;&gt;"", LOOKUP(D219,reqTable[Coresponding Page],reqTable[Priority]),"")</f>
        <v/>
      </c>
      <c r="F219" s="32"/>
      <c r="H219" s="32"/>
      <c r="I219" s="32"/>
      <c r="J219" s="32"/>
      <c r="K219" s="32"/>
      <c r="L219" s="32"/>
    </row>
    <row r="220" spans="2:12" x14ac:dyDescent="0.25">
      <c r="B220" s="32"/>
      <c r="C220" s="32" t="str">
        <f>IF(B220&lt;&gt;"", LOOKUP(B220,reqTable[Id],reqTable[Name]),"")</f>
        <v/>
      </c>
      <c r="D220" s="32" t="str">
        <f>IF(C220&lt;&gt;"", LOOKUP(C220,reqTable[Name],reqTable[Coresponding Page]),"")</f>
        <v/>
      </c>
      <c r="E220" s="32" t="str">
        <f>IF(D220&lt;&gt;"", LOOKUP(D220,reqTable[Coresponding Page],reqTable[Priority]),"")</f>
        <v/>
      </c>
      <c r="F220" s="32"/>
      <c r="H220" s="32"/>
      <c r="I220" s="32"/>
      <c r="J220" s="32"/>
      <c r="K220" s="32"/>
      <c r="L220" s="32"/>
    </row>
    <row r="221" spans="2:12" x14ac:dyDescent="0.25">
      <c r="B221" s="32"/>
      <c r="C221" s="32" t="str">
        <f>IF(B221&lt;&gt;"", LOOKUP(B221,reqTable[Id],reqTable[Name]),"")</f>
        <v/>
      </c>
      <c r="D221" s="32" t="str">
        <f>IF(C221&lt;&gt;"", LOOKUP(C221,reqTable[Name],reqTable[Coresponding Page]),"")</f>
        <v/>
      </c>
      <c r="E221" s="32" t="str">
        <f>IF(D221&lt;&gt;"", LOOKUP(D221,reqTable[Coresponding Page],reqTable[Priority]),"")</f>
        <v/>
      </c>
      <c r="F221" s="32"/>
      <c r="H221" s="32"/>
      <c r="I221" s="32"/>
      <c r="J221" s="32"/>
      <c r="K221" s="32"/>
      <c r="L221" s="32"/>
    </row>
    <row r="222" spans="2:12" x14ac:dyDescent="0.25">
      <c r="B222" s="32"/>
      <c r="C222" s="32" t="str">
        <f>IF(B222&lt;&gt;"", LOOKUP(B222,reqTable[Id],reqTable[Name]),"")</f>
        <v/>
      </c>
      <c r="D222" s="32" t="str">
        <f>IF(C222&lt;&gt;"", LOOKUP(C222,reqTable[Name],reqTable[Coresponding Page]),"")</f>
        <v/>
      </c>
      <c r="E222" s="32" t="str">
        <f>IF(D222&lt;&gt;"", LOOKUP(D222,reqTable[Coresponding Page],reqTable[Priority]),"")</f>
        <v/>
      </c>
      <c r="F222" s="32"/>
      <c r="H222" s="32"/>
      <c r="I222" s="32"/>
      <c r="J222" s="32"/>
      <c r="K222" s="32"/>
      <c r="L222" s="32"/>
    </row>
    <row r="223" spans="2:12" x14ac:dyDescent="0.25">
      <c r="B223" s="32"/>
      <c r="C223" s="32" t="str">
        <f>IF(B223&lt;&gt;"", LOOKUP(B223,reqTable[Id],reqTable[Name]),"")</f>
        <v/>
      </c>
      <c r="D223" s="32" t="str">
        <f>IF(C223&lt;&gt;"", LOOKUP(C223,reqTable[Name],reqTable[Coresponding Page]),"")</f>
        <v/>
      </c>
      <c r="E223" s="32" t="str">
        <f>IF(D223&lt;&gt;"", LOOKUP(D223,reqTable[Coresponding Page],reqTable[Priority]),"")</f>
        <v/>
      </c>
      <c r="F223" s="32"/>
      <c r="H223" s="32"/>
      <c r="I223" s="32"/>
      <c r="J223" s="32"/>
      <c r="K223" s="32"/>
      <c r="L223" s="32"/>
    </row>
    <row r="224" spans="2:12" x14ac:dyDescent="0.25">
      <c r="B224" s="32"/>
      <c r="C224" s="32" t="str">
        <f>IF(B224&lt;&gt;"", LOOKUP(B224,reqTable[Id],reqTable[Name]),"")</f>
        <v/>
      </c>
      <c r="D224" s="32" t="str">
        <f>IF(C224&lt;&gt;"", LOOKUP(C224,reqTable[Name],reqTable[Coresponding Page]),"")</f>
        <v/>
      </c>
      <c r="E224" s="32" t="str">
        <f>IF(D224&lt;&gt;"", LOOKUP(D224,reqTable[Coresponding Page],reqTable[Priority]),"")</f>
        <v/>
      </c>
      <c r="F224" s="32"/>
      <c r="H224" s="32"/>
      <c r="I224" s="32"/>
      <c r="J224" s="32"/>
      <c r="K224" s="32"/>
      <c r="L224" s="32"/>
    </row>
    <row r="225" spans="2:12" x14ac:dyDescent="0.25">
      <c r="B225" s="32"/>
      <c r="C225" s="32" t="str">
        <f>IF(B225&lt;&gt;"", LOOKUP(B225,reqTable[Id],reqTable[Name]),"")</f>
        <v/>
      </c>
      <c r="D225" s="32" t="str">
        <f>IF(C225&lt;&gt;"", LOOKUP(C225,reqTable[Name],reqTable[Coresponding Page]),"")</f>
        <v/>
      </c>
      <c r="E225" s="32" t="str">
        <f>IF(D225&lt;&gt;"", LOOKUP(D225,reqTable[Coresponding Page],reqTable[Priority]),"")</f>
        <v/>
      </c>
      <c r="F225" s="32"/>
      <c r="H225" s="32"/>
      <c r="I225" s="32"/>
      <c r="J225" s="32"/>
      <c r="K225" s="32"/>
      <c r="L225" s="32"/>
    </row>
    <row r="226" spans="2:12" x14ac:dyDescent="0.25">
      <c r="B226" s="32"/>
      <c r="C226" s="32" t="str">
        <f>IF(B226&lt;&gt;"", LOOKUP(B226,reqTable[Id],reqTable[Name]),"")</f>
        <v/>
      </c>
      <c r="D226" s="32" t="str">
        <f>IF(C226&lt;&gt;"", LOOKUP(C226,reqTable[Name],reqTable[Coresponding Page]),"")</f>
        <v/>
      </c>
      <c r="E226" s="32" t="str">
        <f>IF(D226&lt;&gt;"", LOOKUP(D226,reqTable[Coresponding Page],reqTable[Priority]),"")</f>
        <v/>
      </c>
      <c r="F226" s="32"/>
      <c r="H226" s="32"/>
      <c r="I226" s="32"/>
      <c r="J226" s="32"/>
      <c r="K226" s="32"/>
      <c r="L226" s="32"/>
    </row>
    <row r="227" spans="2:12" x14ac:dyDescent="0.25">
      <c r="B227" s="32"/>
      <c r="C227" s="32" t="str">
        <f>IF(B227&lt;&gt;"", LOOKUP(B227,reqTable[Id],reqTable[Name]),"")</f>
        <v/>
      </c>
      <c r="D227" s="32" t="str">
        <f>IF(C227&lt;&gt;"", LOOKUP(C227,reqTable[Name],reqTable[Coresponding Page]),"")</f>
        <v/>
      </c>
      <c r="E227" s="32" t="str">
        <f>IF(D227&lt;&gt;"", LOOKUP(D227,reqTable[Coresponding Page],reqTable[Priority]),"")</f>
        <v/>
      </c>
      <c r="F227" s="32"/>
      <c r="H227" s="32"/>
      <c r="I227" s="32"/>
      <c r="J227" s="32"/>
      <c r="K227" s="32"/>
      <c r="L227" s="32"/>
    </row>
    <row r="228" spans="2:12" x14ac:dyDescent="0.25">
      <c r="B228" s="32"/>
      <c r="C228" s="32" t="str">
        <f>IF(B228&lt;&gt;"", LOOKUP(B228,reqTable[Id],reqTable[Name]),"")</f>
        <v/>
      </c>
      <c r="D228" s="32" t="str">
        <f>IF(C228&lt;&gt;"", LOOKUP(C228,reqTable[Name],reqTable[Coresponding Page]),"")</f>
        <v/>
      </c>
      <c r="E228" s="32" t="str">
        <f>IF(D228&lt;&gt;"", LOOKUP(D228,reqTable[Coresponding Page],reqTable[Priority]),"")</f>
        <v/>
      </c>
      <c r="F228" s="32"/>
      <c r="H228" s="32"/>
      <c r="I228" s="32"/>
      <c r="J228" s="32"/>
      <c r="K228" s="32"/>
      <c r="L228" s="32"/>
    </row>
    <row r="229" spans="2:12" x14ac:dyDescent="0.25">
      <c r="B229" s="32"/>
      <c r="C229" s="32" t="str">
        <f>IF(B229&lt;&gt;"", LOOKUP(B229,reqTable[Id],reqTable[Name]),"")</f>
        <v/>
      </c>
      <c r="D229" s="32" t="str">
        <f>IF(C229&lt;&gt;"", LOOKUP(C229,reqTable[Name],reqTable[Coresponding Page]),"")</f>
        <v/>
      </c>
      <c r="E229" s="32" t="str">
        <f>IF(D229&lt;&gt;"", LOOKUP(D229,reqTable[Coresponding Page],reqTable[Priority]),"")</f>
        <v/>
      </c>
      <c r="F229" s="32"/>
      <c r="H229" s="32"/>
      <c r="I229" s="32"/>
      <c r="J229" s="32"/>
      <c r="K229" s="32"/>
      <c r="L229" s="32"/>
    </row>
    <row r="230" spans="2:12" x14ac:dyDescent="0.25">
      <c r="B230" s="32"/>
      <c r="C230" s="32" t="str">
        <f>IF(B230&lt;&gt;"", LOOKUP(B230,reqTable[Id],reqTable[Name]),"")</f>
        <v/>
      </c>
      <c r="D230" s="32" t="str">
        <f>IF(C230&lt;&gt;"", LOOKUP(C230,reqTable[Name],reqTable[Coresponding Page]),"")</f>
        <v/>
      </c>
      <c r="E230" s="32" t="str">
        <f>IF(D230&lt;&gt;"", LOOKUP(D230,reqTable[Coresponding Page],reqTable[Priority]),"")</f>
        <v/>
      </c>
      <c r="F230" s="32"/>
      <c r="H230" s="32"/>
      <c r="I230" s="32"/>
      <c r="J230" s="32"/>
      <c r="K230" s="32"/>
      <c r="L230" s="32"/>
    </row>
    <row r="231" spans="2:12" x14ac:dyDescent="0.25">
      <c r="B231" s="32"/>
      <c r="C231" s="32" t="str">
        <f>IF(B231&lt;&gt;"", LOOKUP(B231,reqTable[Id],reqTable[Name]),"")</f>
        <v/>
      </c>
      <c r="D231" s="32" t="str">
        <f>IF(C231&lt;&gt;"", LOOKUP(C231,reqTable[Name],reqTable[Coresponding Page]),"")</f>
        <v/>
      </c>
      <c r="E231" s="32" t="str">
        <f>IF(D231&lt;&gt;"", LOOKUP(D231,reqTable[Coresponding Page],reqTable[Priority]),"")</f>
        <v/>
      </c>
      <c r="F231" s="32"/>
      <c r="H231" s="32"/>
      <c r="I231" s="32"/>
      <c r="J231" s="32"/>
      <c r="K231" s="32"/>
      <c r="L231" s="32"/>
    </row>
    <row r="232" spans="2:12" x14ac:dyDescent="0.25">
      <c r="B232" s="32"/>
      <c r="C232" s="32" t="str">
        <f>IF(B232&lt;&gt;"", LOOKUP(B232,reqTable[Id],reqTable[Name]),"")</f>
        <v/>
      </c>
      <c r="D232" s="32" t="str">
        <f>IF(C232&lt;&gt;"", LOOKUP(C232,reqTable[Name],reqTable[Coresponding Page]),"")</f>
        <v/>
      </c>
      <c r="E232" s="32" t="str">
        <f>IF(D232&lt;&gt;"", LOOKUP(D232,reqTable[Coresponding Page],reqTable[Priority]),"")</f>
        <v/>
      </c>
      <c r="F232" s="32"/>
      <c r="H232" s="32"/>
      <c r="I232" s="32"/>
      <c r="J232" s="32"/>
      <c r="K232" s="32"/>
      <c r="L232" s="32"/>
    </row>
    <row r="233" spans="2:12" x14ac:dyDescent="0.25">
      <c r="B233" s="32"/>
      <c r="C233" s="32" t="str">
        <f>IF(B233&lt;&gt;"", LOOKUP(B233,reqTable[Id],reqTable[Name]),"")</f>
        <v/>
      </c>
      <c r="D233" s="32" t="str">
        <f>IF(C233&lt;&gt;"", LOOKUP(C233,reqTable[Name],reqTable[Coresponding Page]),"")</f>
        <v/>
      </c>
      <c r="E233" s="32" t="str">
        <f>IF(D233&lt;&gt;"", LOOKUP(D233,reqTable[Coresponding Page],reqTable[Priority]),"")</f>
        <v/>
      </c>
      <c r="F233" s="32"/>
      <c r="H233" s="32"/>
      <c r="I233" s="32"/>
      <c r="J233" s="32"/>
      <c r="K233" s="32"/>
      <c r="L233" s="32"/>
    </row>
    <row r="234" spans="2:12" x14ac:dyDescent="0.25">
      <c r="B234" s="32"/>
      <c r="C234" s="32" t="str">
        <f>IF(B234&lt;&gt;"", LOOKUP(B234,reqTable[Id],reqTable[Name]),"")</f>
        <v/>
      </c>
      <c r="D234" s="32" t="str">
        <f>IF(C234&lt;&gt;"", LOOKUP(C234,reqTable[Name],reqTable[Coresponding Page]),"")</f>
        <v/>
      </c>
      <c r="E234" s="32" t="str">
        <f>IF(D234&lt;&gt;"", LOOKUP(D234,reqTable[Coresponding Page],reqTable[Priority]),"")</f>
        <v/>
      </c>
      <c r="F234" s="32"/>
      <c r="H234" s="32"/>
      <c r="I234" s="32"/>
      <c r="J234" s="32"/>
      <c r="K234" s="32"/>
      <c r="L234" s="32"/>
    </row>
    <row r="235" spans="2:12" x14ac:dyDescent="0.25">
      <c r="B235" s="32"/>
      <c r="C235" s="32" t="str">
        <f>IF(B235&lt;&gt;"", LOOKUP(B235,reqTable[Id],reqTable[Name]),"")</f>
        <v/>
      </c>
      <c r="D235" s="32" t="str">
        <f>IF(C235&lt;&gt;"", LOOKUP(C235,reqTable[Name],reqTable[Coresponding Page]),"")</f>
        <v/>
      </c>
      <c r="E235" s="32" t="str">
        <f>IF(D235&lt;&gt;"", LOOKUP(D235,reqTable[Coresponding Page],reqTable[Priority]),"")</f>
        <v/>
      </c>
      <c r="F235" s="32"/>
      <c r="H235" s="32"/>
      <c r="I235" s="32"/>
      <c r="J235" s="32"/>
      <c r="K235" s="32"/>
      <c r="L235" s="32"/>
    </row>
    <row r="236" spans="2:12" x14ac:dyDescent="0.25">
      <c r="B236" s="32"/>
      <c r="C236" s="32" t="str">
        <f>IF(B236&lt;&gt;"", LOOKUP(B236,reqTable[Id],reqTable[Name]),"")</f>
        <v/>
      </c>
      <c r="D236" s="32" t="str">
        <f>IF(C236&lt;&gt;"", LOOKUP(C236,reqTable[Name],reqTable[Coresponding Page]),"")</f>
        <v/>
      </c>
      <c r="E236" s="32" t="str">
        <f>IF(D236&lt;&gt;"", LOOKUP(D236,reqTable[Coresponding Page],reqTable[Priority]),"")</f>
        <v/>
      </c>
      <c r="F236" s="32"/>
      <c r="H236" s="32"/>
      <c r="I236" s="32"/>
      <c r="J236" s="32"/>
      <c r="K236" s="32"/>
      <c r="L236" s="32"/>
    </row>
    <row r="237" spans="2:12" x14ac:dyDescent="0.25">
      <c r="B237" s="32"/>
      <c r="C237" s="32" t="str">
        <f>IF(B237&lt;&gt;"", LOOKUP(B237,reqTable[Id],reqTable[Name]),"")</f>
        <v/>
      </c>
      <c r="D237" s="32" t="str">
        <f>IF(C237&lt;&gt;"", LOOKUP(C237,reqTable[Name],reqTable[Coresponding Page]),"")</f>
        <v/>
      </c>
      <c r="E237" s="32" t="str">
        <f>IF(D237&lt;&gt;"", LOOKUP(D237,reqTable[Coresponding Page],reqTable[Priority]),"")</f>
        <v/>
      </c>
      <c r="F237" s="32"/>
      <c r="H237" s="32"/>
      <c r="I237" s="32"/>
      <c r="J237" s="32"/>
      <c r="K237" s="32"/>
      <c r="L237" s="32"/>
    </row>
    <row r="238" spans="2:12" x14ac:dyDescent="0.25">
      <c r="B238" s="32"/>
      <c r="C238" s="32" t="str">
        <f>IF(B238&lt;&gt;"", LOOKUP(B238,reqTable[Id],reqTable[Name]),"")</f>
        <v/>
      </c>
      <c r="D238" s="32" t="str">
        <f>IF(C238&lt;&gt;"", LOOKUP(C238,reqTable[Name],reqTable[Coresponding Page]),"")</f>
        <v/>
      </c>
      <c r="E238" s="32" t="str">
        <f>IF(D238&lt;&gt;"", LOOKUP(D238,reqTable[Coresponding Page],reqTable[Priority]),"")</f>
        <v/>
      </c>
      <c r="F238" s="32"/>
      <c r="H238" s="32"/>
      <c r="I238" s="32"/>
      <c r="J238" s="32"/>
      <c r="K238" s="32"/>
      <c r="L238" s="32"/>
    </row>
    <row r="239" spans="2:12" x14ac:dyDescent="0.25">
      <c r="B239" s="32"/>
      <c r="C239" s="32" t="str">
        <f>IF(B239&lt;&gt;"", LOOKUP(B239,reqTable[Id],reqTable[Name]),"")</f>
        <v/>
      </c>
      <c r="D239" s="32" t="str">
        <f>IF(C239&lt;&gt;"", LOOKUP(C239,reqTable[Name],reqTable[Coresponding Page]),"")</f>
        <v/>
      </c>
      <c r="E239" s="32" t="str">
        <f>IF(D239&lt;&gt;"", LOOKUP(D239,reqTable[Coresponding Page],reqTable[Priority]),"")</f>
        <v/>
      </c>
      <c r="F239" s="32"/>
      <c r="H239" s="32"/>
      <c r="I239" s="32"/>
      <c r="J239" s="32"/>
      <c r="K239" s="32"/>
      <c r="L239" s="32"/>
    </row>
    <row r="240" spans="2:12" x14ac:dyDescent="0.25">
      <c r="B240" s="32"/>
      <c r="C240" s="32" t="str">
        <f>IF(B240&lt;&gt;"", LOOKUP(B240,reqTable[Id],reqTable[Name]),"")</f>
        <v/>
      </c>
      <c r="D240" s="32" t="str">
        <f>IF(C240&lt;&gt;"", LOOKUP(C240,reqTable[Name],reqTable[Coresponding Page]),"")</f>
        <v/>
      </c>
      <c r="E240" s="32" t="str">
        <f>IF(D240&lt;&gt;"", LOOKUP(D240,reqTable[Coresponding Page],reqTable[Priority]),"")</f>
        <v/>
      </c>
      <c r="F240" s="32"/>
      <c r="H240" s="32"/>
      <c r="I240" s="32"/>
      <c r="J240" s="32"/>
      <c r="K240" s="32"/>
      <c r="L240" s="32"/>
    </row>
    <row r="241" spans="2:12" x14ac:dyDescent="0.25">
      <c r="B241" s="32"/>
      <c r="C241" s="32" t="str">
        <f>IF(B241&lt;&gt;"", LOOKUP(B241,reqTable[Id],reqTable[Name]),"")</f>
        <v/>
      </c>
      <c r="D241" s="32" t="str">
        <f>IF(C241&lt;&gt;"", LOOKUP(C241,reqTable[Name],reqTable[Coresponding Page]),"")</f>
        <v/>
      </c>
      <c r="E241" s="32" t="str">
        <f>IF(D241&lt;&gt;"", LOOKUP(D241,reqTable[Coresponding Page],reqTable[Priority]),"")</f>
        <v/>
      </c>
      <c r="F241" s="32"/>
      <c r="H241" s="32"/>
      <c r="I241" s="32"/>
      <c r="J241" s="32"/>
      <c r="K241" s="32"/>
      <c r="L241" s="32"/>
    </row>
    <row r="242" spans="2:12" x14ac:dyDescent="0.25">
      <c r="B242" s="32"/>
      <c r="C242" s="32" t="str">
        <f>IF(B242&lt;&gt;"", LOOKUP(B242,reqTable[Id],reqTable[Name]),"")</f>
        <v/>
      </c>
      <c r="D242" s="32" t="str">
        <f>IF(C242&lt;&gt;"", LOOKUP(C242,reqTable[Name],reqTable[Coresponding Page]),"")</f>
        <v/>
      </c>
      <c r="E242" s="32" t="str">
        <f>IF(D242&lt;&gt;"", LOOKUP(D242,reqTable[Coresponding Page],reqTable[Priority]),"")</f>
        <v/>
      </c>
      <c r="F242" s="32"/>
      <c r="H242" s="32"/>
      <c r="I242" s="32"/>
      <c r="J242" s="32"/>
      <c r="K242" s="32"/>
      <c r="L242" s="32"/>
    </row>
    <row r="243" spans="2:12" x14ac:dyDescent="0.25">
      <c r="B243" s="32"/>
      <c r="C243" s="32" t="str">
        <f>IF(B243&lt;&gt;"", LOOKUP(B243,reqTable[Id],reqTable[Name]),"")</f>
        <v/>
      </c>
      <c r="D243" s="32" t="str">
        <f>IF(C243&lt;&gt;"", LOOKUP(C243,reqTable[Name],reqTable[Coresponding Page]),"")</f>
        <v/>
      </c>
      <c r="E243" s="32" t="str">
        <f>IF(D243&lt;&gt;"", LOOKUP(D243,reqTable[Coresponding Page],reqTable[Priority]),"")</f>
        <v/>
      </c>
      <c r="F243" s="32"/>
      <c r="H243" s="32"/>
      <c r="I243" s="32"/>
      <c r="J243" s="32"/>
      <c r="K243" s="32"/>
      <c r="L243" s="32"/>
    </row>
    <row r="244" spans="2:12" x14ac:dyDescent="0.25">
      <c r="B244" s="32"/>
      <c r="C244" s="32" t="str">
        <f>IF(B244&lt;&gt;"", LOOKUP(B244,reqTable[Id],reqTable[Name]),"")</f>
        <v/>
      </c>
      <c r="D244" s="32" t="str">
        <f>IF(C244&lt;&gt;"", LOOKUP(C244,reqTable[Name],reqTable[Coresponding Page]),"")</f>
        <v/>
      </c>
      <c r="E244" s="32" t="str">
        <f>IF(D244&lt;&gt;"", LOOKUP(D244,reqTable[Coresponding Page],reqTable[Priority]),"")</f>
        <v/>
      </c>
      <c r="F244" s="32"/>
      <c r="H244" s="32"/>
      <c r="I244" s="32"/>
      <c r="J244" s="32"/>
      <c r="K244" s="32"/>
      <c r="L244" s="32"/>
    </row>
    <row r="245" spans="2:12" x14ac:dyDescent="0.25">
      <c r="B245" s="32"/>
      <c r="C245" s="32" t="str">
        <f>IF(B245&lt;&gt;"", LOOKUP(B245,reqTable[Id],reqTable[Name]),"")</f>
        <v/>
      </c>
      <c r="D245" s="32" t="str">
        <f>IF(C245&lt;&gt;"", LOOKUP(C245,reqTable[Name],reqTable[Coresponding Page]),"")</f>
        <v/>
      </c>
      <c r="E245" s="32" t="str">
        <f>IF(D245&lt;&gt;"", LOOKUP(D245,reqTable[Coresponding Page],reqTable[Priority]),"")</f>
        <v/>
      </c>
      <c r="F245" s="32"/>
      <c r="H245" s="32"/>
      <c r="I245" s="32"/>
      <c r="J245" s="32"/>
      <c r="K245" s="32"/>
      <c r="L245" s="32"/>
    </row>
    <row r="246" spans="2:12" x14ac:dyDescent="0.25">
      <c r="B246" s="32"/>
      <c r="C246" s="32" t="str">
        <f>IF(B246&lt;&gt;"", LOOKUP(B246,reqTable[Id],reqTable[Name]),"")</f>
        <v/>
      </c>
      <c r="D246" s="32" t="str">
        <f>IF(C246&lt;&gt;"", LOOKUP(C246,reqTable[Name],reqTable[Coresponding Page]),"")</f>
        <v/>
      </c>
      <c r="E246" s="32" t="str">
        <f>IF(D246&lt;&gt;"", LOOKUP(D246,reqTable[Coresponding Page],reqTable[Priority]),"")</f>
        <v/>
      </c>
      <c r="F246" s="32"/>
      <c r="H246" s="32"/>
      <c r="I246" s="32"/>
      <c r="J246" s="32"/>
      <c r="K246" s="32"/>
      <c r="L246" s="32"/>
    </row>
    <row r="247" spans="2:12" x14ac:dyDescent="0.25">
      <c r="B247" s="32"/>
      <c r="C247" s="32" t="str">
        <f>IF(B247&lt;&gt;"", LOOKUP(B247,reqTable[Id],reqTable[Name]),"")</f>
        <v/>
      </c>
      <c r="D247" s="32" t="str">
        <f>IF(C247&lt;&gt;"", LOOKUP(C247,reqTable[Name],reqTable[Coresponding Page]),"")</f>
        <v/>
      </c>
      <c r="E247" s="32" t="str">
        <f>IF(D247&lt;&gt;"", LOOKUP(D247,reqTable[Coresponding Page],reqTable[Priority]),"")</f>
        <v/>
      </c>
      <c r="F247" s="32"/>
      <c r="H247" s="32"/>
      <c r="I247" s="32"/>
      <c r="J247" s="32"/>
      <c r="K247" s="32"/>
      <c r="L247" s="32"/>
    </row>
    <row r="248" spans="2:12" x14ac:dyDescent="0.25">
      <c r="B248" s="32"/>
      <c r="C248" s="32" t="str">
        <f>IF(B248&lt;&gt;"", LOOKUP(B248,reqTable[Id],reqTable[Name]),"")</f>
        <v/>
      </c>
      <c r="D248" s="32" t="str">
        <f>IF(C248&lt;&gt;"", LOOKUP(C248,reqTable[Name],reqTable[Coresponding Page]),"")</f>
        <v/>
      </c>
      <c r="E248" s="32" t="str">
        <f>IF(D248&lt;&gt;"", LOOKUP(D248,reqTable[Coresponding Page],reqTable[Priority]),"")</f>
        <v/>
      </c>
      <c r="F248" s="32"/>
      <c r="H248" s="32"/>
      <c r="I248" s="32"/>
      <c r="J248" s="32"/>
      <c r="K248" s="32"/>
      <c r="L248" s="32"/>
    </row>
    <row r="249" spans="2:12" x14ac:dyDescent="0.25">
      <c r="B249" s="32"/>
      <c r="C249" s="32" t="str">
        <f>IF(B249&lt;&gt;"", LOOKUP(B249,reqTable[Id],reqTable[Name]),"")</f>
        <v/>
      </c>
      <c r="D249" s="32" t="str">
        <f>IF(C249&lt;&gt;"", LOOKUP(C249,reqTable[Name],reqTable[Coresponding Page]),"")</f>
        <v/>
      </c>
      <c r="E249" s="32" t="str">
        <f>IF(D249&lt;&gt;"", LOOKUP(D249,reqTable[Coresponding Page],reqTable[Priority]),"")</f>
        <v/>
      </c>
      <c r="F249" s="32"/>
      <c r="H249" s="32"/>
      <c r="I249" s="32"/>
      <c r="J249" s="32"/>
      <c r="K249" s="32"/>
      <c r="L249" s="32"/>
    </row>
    <row r="250" spans="2:12" x14ac:dyDescent="0.25">
      <c r="B250" s="32"/>
      <c r="C250" s="32" t="str">
        <f>IF(B250&lt;&gt;"", LOOKUP(B250,reqTable[Id],reqTable[Name]),"")</f>
        <v/>
      </c>
      <c r="D250" s="32" t="str">
        <f>IF(C250&lt;&gt;"", LOOKUP(C250,reqTable[Name],reqTable[Coresponding Page]),"")</f>
        <v/>
      </c>
      <c r="E250" s="32" t="str">
        <f>IF(D250&lt;&gt;"", LOOKUP(D250,reqTable[Coresponding Page],reqTable[Priority]),"")</f>
        <v/>
      </c>
      <c r="F250" s="32"/>
      <c r="H250" s="32"/>
      <c r="I250" s="32"/>
      <c r="J250" s="32"/>
      <c r="K250" s="32"/>
      <c r="L250" s="32"/>
    </row>
  </sheetData>
  <mergeCells count="2">
    <mergeCell ref="B1:F1"/>
    <mergeCell ref="H1:L1"/>
  </mergeCells>
  <pageMargins left="0.7" right="0.7" top="0.75" bottom="0.75" header="0.3" footer="0.3"/>
  <tableParts count="2">
    <tablePart r:id="rId1"/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B4557CB-7701-447E-86F0-E56F4D713B16}">
          <x14:formula1>
            <xm:f>'Data Validation Lists'!$D$3:$D$16</xm:f>
          </x14:formula1>
          <xm:sqref>F3:F250 L3:L250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DFC678-2EBE-4183-99E9-65839C920EF8}">
  <sheetPr codeName="Sheet3"/>
  <dimension ref="A1:G16"/>
  <sheetViews>
    <sheetView workbookViewId="0">
      <selection activeCell="G1" sqref="G1:G2"/>
    </sheetView>
  </sheetViews>
  <sheetFormatPr defaultRowHeight="15" x14ac:dyDescent="0.25"/>
  <cols>
    <col min="1" max="1" width="24" customWidth="1"/>
    <col min="2" max="2" width="19.5703125" customWidth="1"/>
    <col min="3" max="3" width="15.42578125" customWidth="1"/>
    <col min="7" max="7" width="22.140625" customWidth="1"/>
  </cols>
  <sheetData>
    <row r="1" spans="1:7" x14ac:dyDescent="0.25">
      <c r="A1" s="37" t="s">
        <v>192</v>
      </c>
      <c r="B1" s="37"/>
      <c r="C1" s="37"/>
      <c r="D1" s="37"/>
      <c r="G1" t="s">
        <v>194</v>
      </c>
    </row>
    <row r="2" spans="1:7" x14ac:dyDescent="0.25">
      <c r="A2" s="30" t="s">
        <v>1</v>
      </c>
      <c r="B2" s="30" t="s">
        <v>167</v>
      </c>
      <c r="C2" s="30" t="s">
        <v>2</v>
      </c>
      <c r="D2" t="s">
        <v>188</v>
      </c>
      <c r="G2" t="e" cm="1" vm="1">
        <f t="array" aca="1" ref="G2" ca="1">_xlfn.LET(
  _xlpm.typedId, Sprint2[Req ID],
  _xlpm.typedName, Sprint2[Req Name],
  _xlpm.fromName, _xlfn.XLOOKUP(_xlpm.typedName, reqTable[Name], reqTable[Id], ""),
  IF(LEN(_xlpm.typedId)&gt;0, _xlpm.typedId, _xlpm.fromName)
)</f>
        <v>#VALUE!</v>
      </c>
    </row>
    <row r="3" spans="1:7" x14ac:dyDescent="0.25">
      <c r="A3" s="28" t="s">
        <v>15</v>
      </c>
      <c r="B3" s="28" t="s">
        <v>176</v>
      </c>
      <c r="C3" s="28" t="s">
        <v>10</v>
      </c>
      <c r="D3" t="s">
        <v>189</v>
      </c>
    </row>
    <row r="4" spans="1:7" x14ac:dyDescent="0.25">
      <c r="A4" s="29" t="s">
        <v>13</v>
      </c>
      <c r="B4" s="29" t="s">
        <v>174</v>
      </c>
      <c r="C4" s="29" t="s">
        <v>27</v>
      </c>
      <c r="D4" t="s">
        <v>190</v>
      </c>
    </row>
    <row r="5" spans="1:7" x14ac:dyDescent="0.25">
      <c r="A5" s="28" t="s">
        <v>9</v>
      </c>
      <c r="B5" s="29" t="s">
        <v>179</v>
      </c>
      <c r="C5" s="28" t="s">
        <v>14</v>
      </c>
      <c r="D5" t="s">
        <v>191</v>
      </c>
    </row>
    <row r="6" spans="1:7" x14ac:dyDescent="0.25">
      <c r="A6" s="28" t="s">
        <v>30</v>
      </c>
      <c r="B6" s="28" t="s">
        <v>173</v>
      </c>
      <c r="C6" s="29"/>
    </row>
    <row r="7" spans="1:7" x14ac:dyDescent="0.25">
      <c r="A7" s="29" t="s">
        <v>18</v>
      </c>
      <c r="B7" s="28" t="s">
        <v>171</v>
      </c>
      <c r="C7" s="28"/>
    </row>
    <row r="8" spans="1:7" x14ac:dyDescent="0.25">
      <c r="A8" s="29"/>
      <c r="B8" s="28" t="s">
        <v>180</v>
      </c>
      <c r="C8" s="29"/>
    </row>
    <row r="9" spans="1:7" x14ac:dyDescent="0.25">
      <c r="A9" s="28"/>
      <c r="B9" s="29" t="s">
        <v>177</v>
      </c>
      <c r="C9" s="28"/>
    </row>
    <row r="10" spans="1:7" x14ac:dyDescent="0.25">
      <c r="A10" s="29"/>
      <c r="B10" s="28" t="s">
        <v>168</v>
      </c>
      <c r="C10" s="29"/>
    </row>
    <row r="11" spans="1:7" x14ac:dyDescent="0.25">
      <c r="A11" s="28"/>
      <c r="B11" s="29" t="s">
        <v>169</v>
      </c>
      <c r="C11" s="28"/>
    </row>
    <row r="12" spans="1:7" x14ac:dyDescent="0.25">
      <c r="A12" s="29"/>
      <c r="B12" s="29" t="s">
        <v>172</v>
      </c>
      <c r="C12" s="29"/>
    </row>
    <row r="13" spans="1:7" x14ac:dyDescent="0.25">
      <c r="A13" s="28"/>
      <c r="B13" s="29" t="s">
        <v>181</v>
      </c>
      <c r="C13" s="28"/>
    </row>
    <row r="14" spans="1:7" x14ac:dyDescent="0.25">
      <c r="A14" s="29"/>
      <c r="B14" s="29" t="s">
        <v>178</v>
      </c>
      <c r="C14" s="29"/>
    </row>
    <row r="15" spans="1:7" x14ac:dyDescent="0.25">
      <c r="A15" s="28"/>
      <c r="B15" s="28" t="s">
        <v>170</v>
      </c>
      <c r="C15" s="28"/>
    </row>
    <row r="16" spans="1:7" x14ac:dyDescent="0.25">
      <c r="A16" s="29"/>
      <c r="B16" s="28" t="s">
        <v>175</v>
      </c>
      <c r="C16" s="29"/>
    </row>
  </sheetData>
  <mergeCells count="1">
    <mergeCell ref="A1:D1"/>
  </mergeCells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dd95b21-2794-45bc-845d-d5e1b11d8d2d">
      <Terms xmlns="http://schemas.microsoft.com/office/infopath/2007/PartnerControls"/>
    </lcf76f155ced4ddcb4097134ff3c332f>
    <TaxCatchAll xmlns="7c48d12e-b5b0-45d4-9840-1cd6db800bbf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483E0907F0B204BBFF20B01F53E5598" ma:contentTypeVersion="10" ma:contentTypeDescription="Create a new document." ma:contentTypeScope="" ma:versionID="a88c92251f53f402bb42770e3a177b1b">
  <xsd:schema xmlns:xsd="http://www.w3.org/2001/XMLSchema" xmlns:xs="http://www.w3.org/2001/XMLSchema" xmlns:p="http://schemas.microsoft.com/office/2006/metadata/properties" xmlns:ns2="6dd95b21-2794-45bc-845d-d5e1b11d8d2d" xmlns:ns3="7c48d12e-b5b0-45d4-9840-1cd6db800bbf" targetNamespace="http://schemas.microsoft.com/office/2006/metadata/properties" ma:root="true" ma:fieldsID="e29bfc004593a178122d0e3299725954" ns2:_="" ns3:_="">
    <xsd:import namespace="6dd95b21-2794-45bc-845d-d5e1b11d8d2d"/>
    <xsd:import namespace="7c48d12e-b5b0-45d4-9840-1cd6db800bb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dd95b21-2794-45bc-845d-d5e1b11d8d2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e4a0a71d-71d5-4875-a4e5-50edb98a476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48d12e-b5b0-45d4-9840-1cd6db800bbf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aecbb088-1389-4408-9b9a-122d9f9df263}" ma:internalName="TaxCatchAll" ma:showField="CatchAllData" ma:web="7c48d12e-b5b0-45d4-9840-1cd6db800bb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1741202-914C-4D87-ACA4-F91D5D0F32AC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CB123B3-C721-417C-A9C2-843A0B7086A1}">
  <ds:schemaRefs>
    <ds:schemaRef ds:uri="http://purl.org/dc/terms/"/>
    <ds:schemaRef ds:uri="http://schemas.microsoft.com/office/infopath/2007/PartnerControls"/>
    <ds:schemaRef ds:uri="http://schemas.microsoft.com/office/2006/metadata/properties"/>
    <ds:schemaRef ds:uri="http://purl.org/dc/elements/1.1/"/>
    <ds:schemaRef ds:uri="7c48d12e-b5b0-45d4-9840-1cd6db800bbf"/>
    <ds:schemaRef ds:uri="6dd95b21-2794-45bc-845d-d5e1b11d8d2d"/>
    <ds:schemaRef ds:uri="http://schemas.microsoft.com/office/2006/documentManagement/types"/>
    <ds:schemaRef ds:uri="http://www.w3.org/XML/1998/namespace"/>
    <ds:schemaRef ds:uri="http://schemas.openxmlformats.org/package/2006/metadata/core-properties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9D852D6C-AD7A-458C-B552-097744BD9CC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dd95b21-2794-45bc-845d-d5e1b11d8d2d"/>
    <ds:schemaRef ds:uri="7c48d12e-b5b0-45d4-9840-1cd6db800bb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Requirements</vt:lpstr>
      <vt:lpstr>Sprint Tracking</vt:lpstr>
      <vt:lpstr>Data Validation Lists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Arthur, Weston C</dc:creator>
  <cp:keywords/>
  <dc:description/>
  <cp:lastModifiedBy>Lockhart, Aaron M</cp:lastModifiedBy>
  <cp:revision/>
  <dcterms:created xsi:type="dcterms:W3CDTF">2026-01-16T20:53:10Z</dcterms:created>
  <dcterms:modified xsi:type="dcterms:W3CDTF">2026-01-23T23:50:43Z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0x0101006483E0907F0B204BBFF20B01F53E5598</vt:lpwstr>
  </property>
  <property fmtid="{D5CDD505-2E9C-101B-9397-08002B2CF9AE}" pid="3" name="MediaServiceImageTags">
    <vt:lpwstr/>
  </property>
</Properties>
</file>